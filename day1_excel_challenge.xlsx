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8_{6F716CA4-FC65-43B6-8B83-7A34AB2CA8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llenge_Instructions" sheetId="1" r:id="rId1"/>
    <sheet name="Performs" sheetId="4" r:id="rId2"/>
    <sheet name="Clean data" sheetId="3" r:id="rId3"/>
    <sheet name="Sales_Data" sheetId="2" r:id="rId4"/>
  </sheets>
  <definedNames>
    <definedName name="ExternalData_1" localSheetId="2" hidden="1">'Clean data'!$A$1:$I$201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360366-A33D-45A7-BC9A-3B368514208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<sst xmlns="http://schemas.openxmlformats.org/spreadsheetml/2006/main" count="1665" uniqueCount="256">
  <si>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</si>
  <si>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</si>
  <si>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</si>
  <si>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</si>
  <si>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</si>
  <si>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</si>
  <si>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</si>
  <si>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</si>
  <si>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</si>
  <si>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</si>
  <si>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</si>
  <si>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</si>
  <si>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</si>
  <si>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</si>
  <si>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</si>
  <si>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</si>
  <si>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</si>
  <si>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</si>
  <si>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</si>
  <si>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</si>
  <si>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</si>
  <si>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</si>
  <si>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</si>
  <si>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</si>
  <si>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</si>
  <si>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</si>
  <si>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</si>
  <si>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</si>
  <si>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</si>
  <si>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</si>
  <si>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</si>
  <si>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</si>
  <si>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</si>
  <si>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</si>
  <si>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</si>
  <si>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</si>
  <si>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</si>
  <si>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</si>
  <si>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</si>
  <si>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</si>
  <si>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</si>
  <si>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</si>
  <si>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</si>
  <si>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</si>
  <si>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</si>
  <si>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</si>
  <si>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</si>
  <si>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</si>
  <si>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</si>
  <si>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</si>
  <si>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</si>
  <si>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</si>
  <si>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</si>
  <si>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</si>
  <si>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</si>
  <si>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</si>
  <si>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</si>
  <si>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</si>
  <si>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</si>
  <si>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</si>
  <si>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</si>
  <si>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</si>
  <si>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</si>
  <si>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</si>
  <si>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</si>
  <si>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</si>
  <si>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</si>
  <si>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</si>
  <si>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</si>
  <si>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</si>
  <si>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</si>
  <si>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</si>
  <si>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</si>
  <si>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</si>
  <si>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</si>
  <si>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</si>
  <si>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</si>
  <si>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</si>
  <si>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</si>
  <si>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</si>
  <si>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</si>
  <si>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</si>
  <si>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</si>
  <si>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</si>
  <si>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</si>
  <si>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</si>
  <si>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</si>
  <si>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</si>
  <si>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</si>
  <si>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</si>
  <si>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</si>
  <si>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</si>
  <si>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</si>
  <si>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</si>
  <si>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</si>
  <si>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</si>
  <si>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</si>
  <si>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</si>
  <si>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</si>
  <si>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</si>
  <si>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</si>
  <si>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</si>
  <si>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</si>
  <si>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</si>
  <si>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</si>
  <si>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</si>
  <si>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</si>
  <si>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</si>
  <si>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</si>
  <si>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</si>
  <si>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</si>
  <si>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</si>
  <si>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</si>
  <si>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</si>
  <si>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</si>
  <si>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</si>
  <si>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</si>
  <si>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</si>
  <si>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</si>
  <si>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</si>
  <si>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</si>
  <si>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</si>
  <si>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</si>
  <si>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</si>
  <si>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</si>
  <si>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</si>
  <si>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</si>
  <si>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</si>
  <si>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</si>
  <si>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</si>
  <si>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</si>
  <si>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</si>
  <si>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</si>
  <si>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</si>
  <si>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</si>
  <si>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</si>
  <si>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</si>
  <si>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</si>
  <si>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</si>
  <si>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</si>
  <si>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</si>
  <si>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</si>
  <si>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</si>
  <si>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</si>
  <si>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</si>
  <si>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</si>
  <si>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</si>
  <si>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</si>
  <si>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</si>
  <si>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</si>
  <si>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</si>
  <si>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</si>
  <si>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</si>
  <si>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</si>
  <si>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</si>
  <si>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</si>
  <si>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</si>
  <si>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</si>
  <si>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</si>
  <si>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</si>
  <si>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</si>
  <si>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</si>
  <si>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</si>
  <si>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</si>
  <si>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</si>
  <si>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</si>
  <si>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</si>
  <si>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</si>
  <si>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</si>
  <si>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</si>
  <si>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</si>
  <si>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</si>
  <si>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</si>
  <si>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</si>
  <si>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</si>
  <si>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</si>
  <si>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</si>
  <si>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</si>
  <si>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</si>
  <si>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</si>
  <si>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</si>
  <si>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</si>
  <si>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</si>
  <si>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</si>
  <si>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</si>
  <si>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</si>
  <si>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</si>
  <si>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</si>
  <si>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</si>
  <si>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</si>
  <si>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</si>
  <si>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</si>
  <si>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</si>
  <si>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</si>
  <si>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</si>
  <si>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</si>
  <si>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</si>
  <si>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</si>
  <si>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</si>
  <si>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</si>
  <si>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</si>
  <si>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</si>
  <si>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</si>
  <si>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</si>
  <si>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</si>
  <si>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</si>
  <si>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</si>
  <si>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</si>
  <si>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</si>
  <si>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</si>
  <si>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</si>
  <si>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</si>
  <si>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</si>
  <si>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</si>
  <si>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</si>
  <si>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</si>
  <si>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</si>
  <si>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</si>
  <si>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</si>
  <si>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</si>
  <si>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</si>
  <si>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</si>
  <si>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</si>
  <si>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</si>
  <si>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</si>
  <si>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</si>
  <si>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</si>
  <si>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</si>
  <si>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</si>
  <si>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</si>
  <si>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</si>
  <si>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</si>
  <si>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</si>
  <si>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</si>
  <si>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</si>
  <si>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</si>
  <si>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</si>
  <si>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</si>
  <si>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</si>
  <si>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</si>
  <si>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</si>
  <si>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</si>
  <si>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</si>
  <si>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Order_Date.1</t>
  </si>
  <si>
    <t>total revenue</t>
  </si>
  <si>
    <t>Sum of total revenue</t>
  </si>
  <si>
    <t>Row Labels</t>
  </si>
  <si>
    <t>Grand Total</t>
  </si>
  <si>
    <t>Desk ChairFurniture</t>
  </si>
  <si>
    <t>KeyboardElectronics</t>
  </si>
  <si>
    <t>LaptopElectronics</t>
  </si>
  <si>
    <t>MonitorElectronics</t>
  </si>
  <si>
    <t>MouseElectronics</t>
  </si>
  <si>
    <t>NotebookStationery</t>
  </si>
  <si>
    <t>Pen PackStationery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</si>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</sst>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Gautami"/>
      <family val="2"/>
      <scheme val="minor"/>
    </font>
    <font>
      <b/>
      <sz val="11"/>
      <color theme="1"/>
      <name val="Gautam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4" fontId="0" fillId="0" borderId="0" xfId="0" applyNumberFormat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utam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[day1_excel_challenge.xlsx]Performs!PivotTable1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e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e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Performs!$E$3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Performs!$D$4:$D$8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Performs!$E$4:$E$8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7-4BEA-8FD3-94D2E59E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9174111"/>
        <c:axId val="219175103"/>
        <c:axId val="0"/>
      </c:bar3DChart>
      <c:catAx>
        <c:axId val="2191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e-IN"/>
          </a:p>
        </c:txPr>
        <c:crossAx val="219175103"/>
        <c:crosses val="autoZero"/>
        <c:auto val="1"/>
        <c:lblAlgn val="ctr"/>
        <c:lblOffset val="100"/>
        <c:noMultiLvlLbl val="0"/>
      </c:catAx>
      <c:valAx>
        <c:axId val="2191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e-IN"/>
          </a:p>
        </c:txPr>
        <c:crossAx val="21917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e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e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14</xdr:row>
      <xdr:rowOff>0</xdr:rowOff>
    </xdr:from>
    <xdr:to>
      <xdr:col>9</xdr:col>
      <xdr:colOff>19050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644B1-46A5-81CB-3E30-13846F576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6099.478530555556" createdVersion="8" refreshedVersion="8" minRefreshableVersion="3" recordCount="200" xr:uid="{FFCF0283-5B56-4D74-9E20-1D601E5435E2}">
  <cacheSource type="worksheet">
    <worksheetSource name="Table1_1"/>
  </cacheSource>
  <cacheFields count="9">
    <cacheField name="Order_ID" numFmtId="0">
      <sharedItems/>
    </cacheField>
    <cacheField name="Order_Date.1" numFmtId="1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/>
    </cacheField>
    <cacheField name="Column1" numFmtId="0">
      <sharedItems count="7">
        <s v="NotebookStationery"/>
        <s v="Desk ChairFurniture"/>
        <s v="LaptopElectronics"/>
        <s v="Pen PackStationery"/>
        <s v="KeyboardElectronics"/>
        <s v="MouseElectronics"/>
        <s v="Monitor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s v="Stationery"/>
    <x v="0"/>
    <n v="6"/>
    <n v="142"/>
    <x v="0"/>
  </r>
  <r>
    <s v="ORD0002"/>
    <d v="2025-01-29T00:00:00"/>
    <x v="1"/>
    <x v="1"/>
    <s v="Furniture"/>
    <x v="1"/>
    <n v="4"/>
    <n v="890"/>
    <x v="1"/>
  </r>
  <r>
    <s v="ORD0003"/>
    <d v="2025-02-13T00:00:00"/>
    <x v="0"/>
    <x v="0"/>
    <s v="Stationery"/>
    <x v="0"/>
    <n v="10"/>
    <n v="786"/>
    <x v="2"/>
  </r>
  <r>
    <s v="ORD0004"/>
    <d v="2025-01-05T00:00:00"/>
    <x v="0"/>
    <x v="2"/>
    <s v="Electronics"/>
    <x v="2"/>
    <n v="2"/>
    <n v="20"/>
    <x v="3"/>
  </r>
  <r>
    <s v="ORD0005"/>
    <d v="2025-02-04T00:00:00"/>
    <x v="0"/>
    <x v="2"/>
    <s v="Electronics"/>
    <x v="2"/>
    <n v="1"/>
    <n v="74"/>
    <x v="4"/>
  </r>
  <r>
    <s v="ORD0006"/>
    <d v="2025-02-23T00:00:00"/>
    <x v="0"/>
    <x v="1"/>
    <s v="Furniture"/>
    <x v="1"/>
    <n v="4"/>
    <n v="486"/>
    <x v="5"/>
  </r>
  <r>
    <s v="ORD0007"/>
    <d v="2025-01-23T00:00:00"/>
    <x v="0"/>
    <x v="0"/>
    <s v="Stationery"/>
    <x v="0"/>
    <n v="1"/>
    <n v="560"/>
    <x v="6"/>
  </r>
  <r>
    <s v="ORD0008"/>
    <d v="2025-02-27T00:00:00"/>
    <x v="1"/>
    <x v="3"/>
    <s v="Stationery"/>
    <x v="3"/>
    <n v="2"/>
    <n v="737"/>
    <x v="7"/>
  </r>
  <r>
    <s v="ORD0009"/>
    <d v="2025-01-02T00:00:00"/>
    <x v="2"/>
    <x v="0"/>
    <s v="Stationery"/>
    <x v="0"/>
    <n v="1"/>
    <n v="647"/>
    <x v="8"/>
  </r>
  <r>
    <s v="ORD0010"/>
    <d v="2025-02-14T00:00:00"/>
    <x v="0"/>
    <x v="4"/>
    <s v="Electronics"/>
    <x v="4"/>
    <n v="6"/>
    <n v="681"/>
    <x v="9"/>
  </r>
  <r>
    <s v="ORD0011"/>
    <d v="2025-02-15T00:00:00"/>
    <x v="3"/>
    <x v="5"/>
    <s v="Electronics"/>
    <x v="5"/>
    <n v="7"/>
    <n v="429"/>
    <x v="10"/>
  </r>
  <r>
    <s v="ORD0012"/>
    <d v="2025-01-22T00:00:00"/>
    <x v="2"/>
    <x v="6"/>
    <s v="Electronics"/>
    <x v="6"/>
    <n v="7"/>
    <n v="194"/>
    <x v="11"/>
  </r>
  <r>
    <s v="ORD0013"/>
    <d v="2025-02-23T00:00:00"/>
    <x v="0"/>
    <x v="3"/>
    <s v="Stationery"/>
    <x v="3"/>
    <n v="4"/>
    <n v="503"/>
    <x v="12"/>
  </r>
  <r>
    <s v="ORD0014"/>
    <d v="2025-02-03T00:00:00"/>
    <x v="1"/>
    <x v="2"/>
    <s v="Electronics"/>
    <x v="2"/>
    <n v="2"/>
    <n v="21"/>
    <x v="13"/>
  </r>
  <r>
    <s v="ORD0015"/>
    <d v="2025-02-05T00:00:00"/>
    <x v="3"/>
    <x v="2"/>
    <s v="Electronics"/>
    <x v="2"/>
    <n v="6"/>
    <n v="511"/>
    <x v="14"/>
  </r>
  <r>
    <s v="ORD0016"/>
    <d v="2025-02-26T00:00:00"/>
    <x v="0"/>
    <x v="3"/>
    <s v="Stationery"/>
    <x v="3"/>
    <n v="6"/>
    <n v="235"/>
    <x v="15"/>
  </r>
  <r>
    <s v="ORD0017"/>
    <d v="2025-02-01T00:00:00"/>
    <x v="1"/>
    <x v="0"/>
    <s v="Stationery"/>
    <x v="0"/>
    <n v="6"/>
    <n v="646"/>
    <x v="16"/>
  </r>
  <r>
    <s v="ORD0018"/>
    <d v="2025-01-22T00:00:00"/>
    <x v="3"/>
    <x v="2"/>
    <s v="Electronics"/>
    <x v="2"/>
    <n v="1"/>
    <n v="375"/>
    <x v="17"/>
  </r>
  <r>
    <s v="ORD0019"/>
    <d v="2025-02-05T00:00:00"/>
    <x v="2"/>
    <x v="3"/>
    <s v="Stationery"/>
    <x v="3"/>
    <n v="4"/>
    <n v="474"/>
    <x v="18"/>
  </r>
  <r>
    <s v="ORD0020"/>
    <d v="2025-02-11T00:00:00"/>
    <x v="0"/>
    <x v="0"/>
    <s v="Stationery"/>
    <x v="0"/>
    <n v="5"/>
    <n v="649"/>
    <x v="19"/>
  </r>
  <r>
    <s v="ORD0021"/>
    <d v="2025-02-27T00:00:00"/>
    <x v="0"/>
    <x v="3"/>
    <s v="Stationery"/>
    <x v="3"/>
    <n v="10"/>
    <n v="710"/>
    <x v="20"/>
  </r>
  <r>
    <s v="ORD0022"/>
    <d v="2025-01-19T00:00:00"/>
    <x v="3"/>
    <x v="1"/>
    <s v="Furniture"/>
    <x v="1"/>
    <n v="7"/>
    <n v="896"/>
    <x v="21"/>
  </r>
  <r>
    <s v="ORD0023"/>
    <d v="2025-01-15T00:00:00"/>
    <x v="3"/>
    <x v="1"/>
    <s v="Furniture"/>
    <x v="1"/>
    <n v="1"/>
    <n v="899"/>
    <x v="22"/>
  </r>
  <r>
    <s v="ORD0024"/>
    <d v="2025-01-23T00:00:00"/>
    <x v="3"/>
    <x v="5"/>
    <s v="Electronics"/>
    <x v="5"/>
    <n v="8"/>
    <n v="457"/>
    <x v="23"/>
  </r>
  <r>
    <s v="ORD0025"/>
    <d v="2025-01-23T00:00:00"/>
    <x v="3"/>
    <x v="1"/>
    <s v="Furniture"/>
    <x v="1"/>
    <n v="9"/>
    <n v="587"/>
    <x v="24"/>
  </r>
  <r>
    <s v="ORD0026"/>
    <d v="2025-01-26T00:00:00"/>
    <x v="1"/>
    <x v="1"/>
    <s v="Furniture"/>
    <x v="1"/>
    <n v="4"/>
    <n v="420"/>
    <x v="25"/>
  </r>
  <r>
    <s v="ORD0027"/>
    <d v="2025-02-18T00:00:00"/>
    <x v="2"/>
    <x v="0"/>
    <s v="Stationery"/>
    <x v="0"/>
    <n v="4"/>
    <n v="761"/>
    <x v="26"/>
  </r>
  <r>
    <s v="ORD0028"/>
    <d v="2025-01-09T00:00:00"/>
    <x v="2"/>
    <x v="1"/>
    <s v="Furniture"/>
    <x v="1"/>
    <n v="3"/>
    <n v="18"/>
    <x v="27"/>
  </r>
  <r>
    <s v="ORD0029"/>
    <d v="2025-02-21T00:00:00"/>
    <x v="1"/>
    <x v="4"/>
    <s v="Electronics"/>
    <x v="4"/>
    <n v="3"/>
    <n v="351"/>
    <x v="28"/>
  </r>
  <r>
    <s v="ORD0030"/>
    <d v="2025-01-25T00:00:00"/>
    <x v="2"/>
    <x v="2"/>
    <s v="Electronics"/>
    <x v="2"/>
    <n v="10"/>
    <n v="131"/>
    <x v="29"/>
  </r>
  <r>
    <s v="ORD0031"/>
    <d v="2025-03-01T00:00:00"/>
    <x v="0"/>
    <x v="3"/>
    <s v="Stationery"/>
    <x v="3"/>
    <n v="4"/>
    <n v="240"/>
    <x v="30"/>
  </r>
  <r>
    <s v="ORD0032"/>
    <d v="2025-02-10T00:00:00"/>
    <x v="0"/>
    <x v="4"/>
    <s v="Electronics"/>
    <x v="4"/>
    <n v="5"/>
    <n v="298"/>
    <x v="31"/>
  </r>
  <r>
    <s v="ORD0033"/>
    <d v="2025-03-01T00:00:00"/>
    <x v="0"/>
    <x v="3"/>
    <s v="Stationery"/>
    <x v="3"/>
    <n v="5"/>
    <n v="575"/>
    <x v="32"/>
  </r>
  <r>
    <s v="ORD0034"/>
    <d v="2025-02-27T00:00:00"/>
    <x v="2"/>
    <x v="5"/>
    <s v="Electronics"/>
    <x v="5"/>
    <n v="10"/>
    <n v="253"/>
    <x v="33"/>
  </r>
  <r>
    <s v="ORD0035"/>
    <d v="2025-03-01T00:00:00"/>
    <x v="3"/>
    <x v="1"/>
    <s v="Furniture"/>
    <x v="1"/>
    <n v="7"/>
    <n v="636"/>
    <x v="34"/>
  </r>
  <r>
    <s v="ORD0036"/>
    <d v="2025-01-29T00:00:00"/>
    <x v="3"/>
    <x v="4"/>
    <s v="Electronics"/>
    <x v="4"/>
    <n v="9"/>
    <n v="127"/>
    <x v="35"/>
  </r>
  <r>
    <s v="ORD0037"/>
    <d v="2025-02-01T00:00:00"/>
    <x v="1"/>
    <x v="4"/>
    <s v="Electronics"/>
    <x v="4"/>
    <n v="1"/>
    <n v="120"/>
    <x v="36"/>
  </r>
  <r>
    <s v="ORD0038"/>
    <d v="2025-02-03T00:00:00"/>
    <x v="2"/>
    <x v="1"/>
    <s v="Furniture"/>
    <x v="1"/>
    <n v="9"/>
    <n v="241"/>
    <x v="37"/>
  </r>
  <r>
    <s v="ORD0039"/>
    <d v="2025-01-05T00:00:00"/>
    <x v="3"/>
    <x v="3"/>
    <s v="Stationery"/>
    <x v="3"/>
    <n v="1"/>
    <n v="284"/>
    <x v="38"/>
  </r>
  <r>
    <s v="ORD0040"/>
    <d v="2025-02-22T00:00:00"/>
    <x v="3"/>
    <x v="0"/>
    <s v="Stationery"/>
    <x v="0"/>
    <n v="5"/>
    <n v="694"/>
    <x v="39"/>
  </r>
  <r>
    <s v="ORD0041"/>
    <d v="2025-02-21T00:00:00"/>
    <x v="1"/>
    <x v="6"/>
    <s v="Electronics"/>
    <x v="6"/>
    <n v="10"/>
    <n v="216"/>
    <x v="40"/>
  </r>
  <r>
    <s v="ORD0042"/>
    <d v="2025-02-22T00:00:00"/>
    <x v="2"/>
    <x v="0"/>
    <s v="Stationery"/>
    <x v="0"/>
    <n v="10"/>
    <n v="806"/>
    <x v="41"/>
  </r>
  <r>
    <s v="ORD0043"/>
    <d v="2025-01-12T00:00:00"/>
    <x v="2"/>
    <x v="4"/>
    <s v="Electronics"/>
    <x v="4"/>
    <n v="3"/>
    <n v="336"/>
    <x v="42"/>
  </r>
  <r>
    <s v="ORD0044"/>
    <d v="2025-01-21T00:00:00"/>
    <x v="3"/>
    <x v="2"/>
    <s v="Electronics"/>
    <x v="2"/>
    <n v="7"/>
    <n v="269"/>
    <x v="43"/>
  </r>
  <r>
    <s v="ORD0045"/>
    <d v="2025-01-12T00:00:00"/>
    <x v="2"/>
    <x v="4"/>
    <s v="Electronics"/>
    <x v="4"/>
    <n v="2"/>
    <n v="784"/>
    <x v="44"/>
  </r>
  <r>
    <s v="ORD0046"/>
    <d v="2025-01-11T00:00:00"/>
    <x v="0"/>
    <x v="2"/>
    <s v="Electronics"/>
    <x v="2"/>
    <n v="5"/>
    <n v="282"/>
    <x v="15"/>
  </r>
  <r>
    <s v="ORD0047"/>
    <d v="2025-02-19T00:00:00"/>
    <x v="0"/>
    <x v="3"/>
    <s v="Stationery"/>
    <x v="3"/>
    <n v="8"/>
    <n v="125"/>
    <x v="45"/>
  </r>
  <r>
    <s v="ORD0048"/>
    <d v="2025-01-08T00:00:00"/>
    <x v="3"/>
    <x v="2"/>
    <s v="Electronics"/>
    <x v="2"/>
    <n v="10"/>
    <n v="150"/>
    <x v="46"/>
  </r>
  <r>
    <s v="ORD0049"/>
    <d v="2025-03-02T00:00:00"/>
    <x v="2"/>
    <x v="2"/>
    <s v="Electronics"/>
    <x v="2"/>
    <n v="1"/>
    <n v="428"/>
    <x v="47"/>
  </r>
  <r>
    <s v="ORD0050"/>
    <d v="2025-02-05T00:00:00"/>
    <x v="0"/>
    <x v="2"/>
    <s v="Electronics"/>
    <x v="2"/>
    <n v="9"/>
    <n v="182"/>
    <x v="48"/>
  </r>
  <r>
    <s v="ORD0051"/>
    <d v="2025-02-06T00:00:00"/>
    <x v="0"/>
    <x v="0"/>
    <s v="Stationery"/>
    <x v="0"/>
    <n v="8"/>
    <n v="878"/>
    <x v="49"/>
  </r>
  <r>
    <s v="ORD0052"/>
    <d v="2025-02-16T00:00:00"/>
    <x v="3"/>
    <x v="5"/>
    <s v="Electronics"/>
    <x v="5"/>
    <n v="4"/>
    <n v="31"/>
    <x v="50"/>
  </r>
  <r>
    <s v="ORD0053"/>
    <d v="2025-01-08T00:00:00"/>
    <x v="0"/>
    <x v="4"/>
    <s v="Electronics"/>
    <x v="4"/>
    <n v="9"/>
    <n v="159"/>
    <x v="51"/>
  </r>
  <r>
    <s v="ORD0054"/>
    <d v="2025-01-03T00:00:00"/>
    <x v="2"/>
    <x v="2"/>
    <s v="Electronics"/>
    <x v="2"/>
    <n v="10"/>
    <n v="259"/>
    <x v="52"/>
  </r>
  <r>
    <s v="ORD0055"/>
    <d v="2025-02-06T00:00:00"/>
    <x v="0"/>
    <x v="3"/>
    <s v="Stationery"/>
    <x v="3"/>
    <n v="3"/>
    <n v="427"/>
    <x v="53"/>
  </r>
  <r>
    <s v="ORD0056"/>
    <d v="2025-02-04T00:00:00"/>
    <x v="0"/>
    <x v="4"/>
    <s v="Electronics"/>
    <x v="4"/>
    <n v="8"/>
    <n v="105"/>
    <x v="54"/>
  </r>
  <r>
    <s v="ORD0057"/>
    <d v="2025-01-10T00:00:00"/>
    <x v="2"/>
    <x v="2"/>
    <s v="Electronics"/>
    <x v="2"/>
    <n v="8"/>
    <n v="276"/>
    <x v="55"/>
  </r>
  <r>
    <s v="ORD0058"/>
    <d v="2025-02-27T00:00:00"/>
    <x v="3"/>
    <x v="3"/>
    <s v="Stationery"/>
    <x v="3"/>
    <n v="1"/>
    <n v="76"/>
    <x v="56"/>
  </r>
  <r>
    <s v="ORD0059"/>
    <d v="2025-02-02T00:00:00"/>
    <x v="0"/>
    <x v="4"/>
    <s v="Electronics"/>
    <x v="4"/>
    <n v="9"/>
    <n v="49"/>
    <x v="57"/>
  </r>
  <r>
    <s v="ORD0060"/>
    <d v="2025-01-31T00:00:00"/>
    <x v="2"/>
    <x v="3"/>
    <s v="Stationery"/>
    <x v="3"/>
    <n v="2"/>
    <n v="823"/>
    <x v="58"/>
  </r>
  <r>
    <s v="ORD0061"/>
    <d v="2025-02-17T00:00:00"/>
    <x v="1"/>
    <x v="6"/>
    <s v="Electronics"/>
    <x v="6"/>
    <n v="5"/>
    <n v="149"/>
    <x v="59"/>
  </r>
  <r>
    <s v="ORD0062"/>
    <d v="2025-01-06T00:00:00"/>
    <x v="1"/>
    <x v="1"/>
    <s v="Furniture"/>
    <x v="1"/>
    <n v="7"/>
    <n v="790"/>
    <x v="60"/>
  </r>
  <r>
    <s v="ORD0063"/>
    <d v="2025-02-16T00:00:00"/>
    <x v="0"/>
    <x v="4"/>
    <s v="Electronics"/>
    <x v="4"/>
    <n v="8"/>
    <n v="840"/>
    <x v="61"/>
  </r>
  <r>
    <s v="ORD0064"/>
    <d v="2025-02-04T00:00:00"/>
    <x v="1"/>
    <x v="1"/>
    <s v="Furniture"/>
    <x v="1"/>
    <n v="1"/>
    <n v="382"/>
    <x v="62"/>
  </r>
  <r>
    <s v="ORD0065"/>
    <d v="2025-02-25T00:00:00"/>
    <x v="0"/>
    <x v="1"/>
    <s v="Furniture"/>
    <x v="1"/>
    <n v="2"/>
    <n v="460"/>
    <x v="63"/>
  </r>
  <r>
    <s v="ORD0066"/>
    <d v="2025-01-28T00:00:00"/>
    <x v="2"/>
    <x v="0"/>
    <s v="Stationery"/>
    <x v="0"/>
    <n v="6"/>
    <n v="38"/>
    <x v="64"/>
  </r>
  <r>
    <s v="ORD0067"/>
    <d v="2025-02-13T00:00:00"/>
    <x v="2"/>
    <x v="4"/>
    <s v="Electronics"/>
    <x v="4"/>
    <n v="3"/>
    <n v="762"/>
    <x v="65"/>
  </r>
  <r>
    <s v="ORD0068"/>
    <d v="2025-01-24T00:00:00"/>
    <x v="2"/>
    <x v="2"/>
    <s v="Electronics"/>
    <x v="2"/>
    <n v="2"/>
    <n v="96"/>
    <x v="66"/>
  </r>
  <r>
    <s v="ORD0069"/>
    <d v="2025-01-20T00:00:00"/>
    <x v="2"/>
    <x v="6"/>
    <s v="Electronics"/>
    <x v="6"/>
    <n v="1"/>
    <n v="685"/>
    <x v="67"/>
  </r>
  <r>
    <s v="ORD0070"/>
    <d v="2025-02-26T00:00:00"/>
    <x v="2"/>
    <x v="6"/>
    <s v="Electronics"/>
    <x v="6"/>
    <n v="1"/>
    <n v="44"/>
    <x v="68"/>
  </r>
  <r>
    <s v="ORD0071"/>
    <d v="2025-01-13T00:00:00"/>
    <x v="1"/>
    <x v="1"/>
    <s v="Furniture"/>
    <x v="1"/>
    <n v="2"/>
    <n v="295"/>
    <x v="69"/>
  </r>
  <r>
    <s v="ORD0072"/>
    <d v="2025-02-16T00:00:00"/>
    <x v="3"/>
    <x v="3"/>
    <s v="Stationery"/>
    <x v="3"/>
    <n v="8"/>
    <n v="292"/>
    <x v="70"/>
  </r>
  <r>
    <s v="ORD0073"/>
    <d v="2025-02-14T00:00:00"/>
    <x v="1"/>
    <x v="2"/>
    <s v="Electronics"/>
    <x v="2"/>
    <n v="3"/>
    <n v="70"/>
    <x v="71"/>
  </r>
  <r>
    <s v="ORD0074"/>
    <d v="2025-01-04T00:00:00"/>
    <x v="2"/>
    <x v="0"/>
    <s v="Stationery"/>
    <x v="0"/>
    <n v="5"/>
    <n v="656"/>
    <x v="72"/>
  </r>
  <r>
    <s v="ORD0075"/>
    <d v="2025-01-02T00:00:00"/>
    <x v="2"/>
    <x v="5"/>
    <s v="Electronics"/>
    <x v="5"/>
    <n v="3"/>
    <n v="452"/>
    <x v="73"/>
  </r>
  <r>
    <s v="ORD0076"/>
    <d v="2025-01-14T00:00:00"/>
    <x v="1"/>
    <x v="2"/>
    <s v="Electronics"/>
    <x v="2"/>
    <n v="5"/>
    <n v="391"/>
    <x v="74"/>
  </r>
  <r>
    <s v="ORD0077"/>
    <d v="2025-02-16T00:00:00"/>
    <x v="1"/>
    <x v="2"/>
    <s v="Electronics"/>
    <x v="2"/>
    <n v="2"/>
    <n v="290"/>
    <x v="75"/>
  </r>
  <r>
    <s v="ORD0078"/>
    <d v="2025-01-10T00:00:00"/>
    <x v="0"/>
    <x v="0"/>
    <s v="Stationery"/>
    <x v="0"/>
    <n v="6"/>
    <n v="855"/>
    <x v="76"/>
  </r>
  <r>
    <s v="ORD0079"/>
    <d v="2025-01-01T00:00:00"/>
    <x v="0"/>
    <x v="4"/>
    <s v="Electronics"/>
    <x v="4"/>
    <n v="4"/>
    <n v="295"/>
    <x v="77"/>
  </r>
  <r>
    <s v="ORD0080"/>
    <d v="2025-02-27T00:00:00"/>
    <x v="3"/>
    <x v="5"/>
    <s v="Electronics"/>
    <x v="5"/>
    <n v="4"/>
    <n v="824"/>
    <x v="78"/>
  </r>
  <r>
    <s v="ORD0081"/>
    <d v="2025-01-26T00:00:00"/>
    <x v="2"/>
    <x v="2"/>
    <s v="Electronics"/>
    <x v="2"/>
    <n v="1"/>
    <n v="715"/>
    <x v="79"/>
  </r>
  <r>
    <s v="ORD0082"/>
    <d v="2025-01-23T00:00:00"/>
    <x v="0"/>
    <x v="4"/>
    <s v="Electronics"/>
    <x v="4"/>
    <n v="5"/>
    <n v="380"/>
    <x v="80"/>
  </r>
  <r>
    <s v="ORD0083"/>
    <d v="2025-01-16T00:00:00"/>
    <x v="1"/>
    <x v="6"/>
    <s v="Electronics"/>
    <x v="6"/>
    <n v="9"/>
    <n v="209"/>
    <x v="81"/>
  </r>
  <r>
    <s v="ORD0084"/>
    <d v="2025-01-23T00:00:00"/>
    <x v="0"/>
    <x v="2"/>
    <s v="Electronics"/>
    <x v="2"/>
    <n v="10"/>
    <n v="724"/>
    <x v="82"/>
  </r>
  <r>
    <s v="ORD0085"/>
    <d v="2025-01-12T00:00:00"/>
    <x v="1"/>
    <x v="5"/>
    <s v="Electronics"/>
    <x v="5"/>
    <n v="6"/>
    <n v="780"/>
    <x v="83"/>
  </r>
  <r>
    <s v="ORD0086"/>
    <d v="2025-02-25T00:00:00"/>
    <x v="1"/>
    <x v="0"/>
    <s v="Stationery"/>
    <x v="0"/>
    <n v="6"/>
    <n v="239"/>
    <x v="84"/>
  </r>
  <r>
    <s v="ORD0087"/>
    <d v="2025-01-25T00:00:00"/>
    <x v="0"/>
    <x v="4"/>
    <s v="Electronics"/>
    <x v="4"/>
    <n v="9"/>
    <n v="297"/>
    <x v="85"/>
  </r>
  <r>
    <s v="ORD0088"/>
    <d v="2025-01-08T00:00:00"/>
    <x v="1"/>
    <x v="6"/>
    <s v="Electronics"/>
    <x v="6"/>
    <n v="7"/>
    <n v="473"/>
    <x v="86"/>
  </r>
  <r>
    <s v="ORD0089"/>
    <d v="2025-02-14T00:00:00"/>
    <x v="2"/>
    <x v="5"/>
    <s v="Electronics"/>
    <x v="5"/>
    <n v="8"/>
    <n v="899"/>
    <x v="87"/>
  </r>
  <r>
    <s v="ORD0090"/>
    <d v="2025-01-04T00:00:00"/>
    <x v="3"/>
    <x v="5"/>
    <s v="Electronics"/>
    <x v="5"/>
    <n v="7"/>
    <n v="71"/>
    <x v="88"/>
  </r>
  <r>
    <s v="ORD0091"/>
    <d v="2025-02-26T00:00:00"/>
    <x v="3"/>
    <x v="6"/>
    <s v="Electronics"/>
    <x v="6"/>
    <n v="1"/>
    <n v="684"/>
    <x v="89"/>
  </r>
  <r>
    <s v="ORD0092"/>
    <d v="2025-01-01T00:00:00"/>
    <x v="1"/>
    <x v="1"/>
    <s v="Furniture"/>
    <x v="1"/>
    <n v="6"/>
    <n v="284"/>
    <x v="90"/>
  </r>
  <r>
    <s v="ORD0093"/>
    <d v="2025-02-05T00:00:00"/>
    <x v="2"/>
    <x v="6"/>
    <s v="Electronics"/>
    <x v="6"/>
    <n v="2"/>
    <n v="814"/>
    <x v="91"/>
  </r>
  <r>
    <s v="ORD0094"/>
    <d v="2025-02-26T00:00:00"/>
    <x v="3"/>
    <x v="5"/>
    <s v="Electronics"/>
    <x v="5"/>
    <n v="3"/>
    <n v="750"/>
    <x v="92"/>
  </r>
  <r>
    <s v="ORD0095"/>
    <d v="2025-02-18T00:00:00"/>
    <x v="1"/>
    <x v="1"/>
    <s v="Furniture"/>
    <x v="1"/>
    <n v="6"/>
    <n v="810"/>
    <x v="93"/>
  </r>
  <r>
    <s v="ORD0096"/>
    <d v="2025-02-02T00:00:00"/>
    <x v="1"/>
    <x v="1"/>
    <s v="Furniture"/>
    <x v="1"/>
    <n v="1"/>
    <n v="505"/>
    <x v="94"/>
  </r>
  <r>
    <s v="ORD0097"/>
    <d v="2025-01-19T00:00:00"/>
    <x v="3"/>
    <x v="4"/>
    <s v="Electronics"/>
    <x v="4"/>
    <n v="4"/>
    <n v="257"/>
    <x v="95"/>
  </r>
  <r>
    <s v="ORD0098"/>
    <d v="2025-02-02T00:00:00"/>
    <x v="2"/>
    <x v="2"/>
    <s v="Electronics"/>
    <x v="2"/>
    <n v="6"/>
    <n v="300"/>
    <x v="96"/>
  </r>
  <r>
    <s v="ORD0099"/>
    <d v="2025-01-16T00:00:00"/>
    <x v="2"/>
    <x v="2"/>
    <s v="Electronics"/>
    <x v="2"/>
    <n v="6"/>
    <n v="65"/>
    <x v="97"/>
  </r>
  <r>
    <s v="ORD0100"/>
    <d v="2025-02-24T00:00:00"/>
    <x v="2"/>
    <x v="3"/>
    <s v="Stationery"/>
    <x v="3"/>
    <n v="5"/>
    <n v="340"/>
    <x v="98"/>
  </r>
  <r>
    <s v="ORD0101"/>
    <d v="2025-02-14T00:00:00"/>
    <x v="0"/>
    <x v="5"/>
    <s v="Electronics"/>
    <x v="5"/>
    <n v="6"/>
    <n v="326"/>
    <x v="99"/>
  </r>
  <r>
    <s v="ORD0102"/>
    <d v="2025-01-22T00:00:00"/>
    <x v="2"/>
    <x v="6"/>
    <s v="Electronics"/>
    <x v="6"/>
    <n v="7"/>
    <n v="146"/>
    <x v="100"/>
  </r>
  <r>
    <s v="ORD0103"/>
    <d v="2025-02-21T00:00:00"/>
    <x v="0"/>
    <x v="4"/>
    <s v="Electronics"/>
    <x v="4"/>
    <n v="7"/>
    <n v="251"/>
    <x v="101"/>
  </r>
  <r>
    <s v="ORD0104"/>
    <d v="2025-03-01T00:00:00"/>
    <x v="2"/>
    <x v="0"/>
    <s v="Stationery"/>
    <x v="0"/>
    <n v="5"/>
    <n v="303"/>
    <x v="102"/>
  </r>
  <r>
    <s v="ORD0105"/>
    <d v="2025-02-27T00:00:00"/>
    <x v="1"/>
    <x v="1"/>
    <s v="Furniture"/>
    <x v="1"/>
    <n v="7"/>
    <n v="396"/>
    <x v="103"/>
  </r>
  <r>
    <s v="ORD0106"/>
    <d v="2025-02-27T00:00:00"/>
    <x v="1"/>
    <x v="3"/>
    <s v="Stationery"/>
    <x v="3"/>
    <n v="10"/>
    <n v="46"/>
    <x v="104"/>
  </r>
  <r>
    <s v="ORD0107"/>
    <d v="2025-02-03T00:00:00"/>
    <x v="2"/>
    <x v="5"/>
    <s v="Electronics"/>
    <x v="5"/>
    <n v="8"/>
    <n v="873"/>
    <x v="105"/>
  </r>
  <r>
    <s v="ORD0108"/>
    <d v="2025-01-22T00:00:00"/>
    <x v="1"/>
    <x v="1"/>
    <s v="Furniture"/>
    <x v="1"/>
    <n v="8"/>
    <n v="619"/>
    <x v="106"/>
  </r>
  <r>
    <s v="ORD0109"/>
    <d v="2025-01-04T00:00:00"/>
    <x v="0"/>
    <x v="1"/>
    <s v="Furniture"/>
    <x v="1"/>
    <n v="6"/>
    <n v="437"/>
    <x v="107"/>
  </r>
  <r>
    <s v="ORD0110"/>
    <d v="2025-02-01T00:00:00"/>
    <x v="3"/>
    <x v="5"/>
    <s v="Electronics"/>
    <x v="5"/>
    <n v="9"/>
    <n v="809"/>
    <x v="108"/>
  </r>
  <r>
    <s v="ORD0111"/>
    <d v="2025-01-17T00:00:00"/>
    <x v="3"/>
    <x v="0"/>
    <s v="Stationery"/>
    <x v="0"/>
    <n v="2"/>
    <n v="551"/>
    <x v="109"/>
  </r>
  <r>
    <s v="ORD0112"/>
    <d v="2025-01-04T00:00:00"/>
    <x v="3"/>
    <x v="5"/>
    <s v="Electronics"/>
    <x v="5"/>
    <n v="6"/>
    <n v="362"/>
    <x v="110"/>
  </r>
  <r>
    <s v="ORD0113"/>
    <d v="2025-01-20T00:00:00"/>
    <x v="2"/>
    <x v="2"/>
    <s v="Electronics"/>
    <x v="2"/>
    <n v="5"/>
    <n v="328"/>
    <x v="111"/>
  </r>
  <r>
    <s v="ORD0114"/>
    <d v="2025-02-20T00:00:00"/>
    <x v="3"/>
    <x v="6"/>
    <s v="Electronics"/>
    <x v="6"/>
    <n v="6"/>
    <n v="389"/>
    <x v="112"/>
  </r>
  <r>
    <s v="ORD0115"/>
    <d v="2025-01-18T00:00:00"/>
    <x v="0"/>
    <x v="2"/>
    <s v="Electronics"/>
    <x v="2"/>
    <n v="7"/>
    <n v="54"/>
    <x v="113"/>
  </r>
  <r>
    <s v="ORD0116"/>
    <d v="2025-02-13T00:00:00"/>
    <x v="0"/>
    <x v="3"/>
    <s v="Stationery"/>
    <x v="3"/>
    <n v="3"/>
    <n v="345"/>
    <x v="114"/>
  </r>
  <r>
    <s v="ORD0117"/>
    <d v="2025-02-16T00:00:00"/>
    <x v="1"/>
    <x v="6"/>
    <s v="Electronics"/>
    <x v="6"/>
    <n v="9"/>
    <n v="863"/>
    <x v="115"/>
  </r>
  <r>
    <s v="ORD0118"/>
    <d v="2025-02-23T00:00:00"/>
    <x v="3"/>
    <x v="1"/>
    <s v="Furniture"/>
    <x v="1"/>
    <n v="6"/>
    <n v="311"/>
    <x v="116"/>
  </r>
  <r>
    <s v="ORD0119"/>
    <d v="2025-01-15T00:00:00"/>
    <x v="2"/>
    <x v="1"/>
    <s v="Furniture"/>
    <x v="1"/>
    <n v="9"/>
    <n v="417"/>
    <x v="117"/>
  </r>
  <r>
    <s v="ORD0120"/>
    <d v="2025-02-11T00:00:00"/>
    <x v="3"/>
    <x v="0"/>
    <s v="Stationery"/>
    <x v="0"/>
    <n v="1"/>
    <n v="747"/>
    <x v="118"/>
  </r>
  <r>
    <s v="ORD0121"/>
    <d v="2025-01-23T00:00:00"/>
    <x v="2"/>
    <x v="4"/>
    <s v="Electronics"/>
    <x v="4"/>
    <n v="10"/>
    <n v="713"/>
    <x v="119"/>
  </r>
  <r>
    <s v="ORD0122"/>
    <d v="2025-02-14T00:00:00"/>
    <x v="0"/>
    <x v="6"/>
    <s v="Electronics"/>
    <x v="6"/>
    <n v="7"/>
    <n v="280"/>
    <x v="120"/>
  </r>
  <r>
    <s v="ORD0123"/>
    <d v="2025-02-16T00:00:00"/>
    <x v="2"/>
    <x v="1"/>
    <s v="Furniture"/>
    <x v="1"/>
    <n v="2"/>
    <n v="241"/>
    <x v="121"/>
  </r>
  <r>
    <s v="ORD0124"/>
    <d v="2025-01-18T00:00:00"/>
    <x v="2"/>
    <x v="6"/>
    <s v="Electronics"/>
    <x v="6"/>
    <n v="10"/>
    <n v="40"/>
    <x v="122"/>
  </r>
  <r>
    <s v="ORD0125"/>
    <d v="2025-01-30T00:00:00"/>
    <x v="1"/>
    <x v="3"/>
    <s v="Stationery"/>
    <x v="3"/>
    <n v="9"/>
    <n v="99"/>
    <x v="123"/>
  </r>
  <r>
    <s v="ORD0126"/>
    <d v="2025-01-05T00:00:00"/>
    <x v="3"/>
    <x v="1"/>
    <s v="Furniture"/>
    <x v="1"/>
    <n v="9"/>
    <n v="307"/>
    <x v="124"/>
  </r>
  <r>
    <s v="ORD0127"/>
    <d v="2025-02-27T00:00:00"/>
    <x v="3"/>
    <x v="5"/>
    <s v="Electronics"/>
    <x v="5"/>
    <n v="3"/>
    <n v="682"/>
    <x v="125"/>
  </r>
  <r>
    <s v="ORD0128"/>
    <d v="2025-01-31T00:00:00"/>
    <x v="2"/>
    <x v="5"/>
    <s v="Electronics"/>
    <x v="5"/>
    <n v="3"/>
    <n v="544"/>
    <x v="126"/>
  </r>
  <r>
    <s v="ORD0129"/>
    <d v="2025-01-30T00:00:00"/>
    <x v="0"/>
    <x v="5"/>
    <s v="Electronics"/>
    <x v="5"/>
    <n v="5"/>
    <n v="141"/>
    <x v="127"/>
  </r>
  <r>
    <s v="ORD0130"/>
    <d v="2025-01-30T00:00:00"/>
    <x v="1"/>
    <x v="3"/>
    <s v="Stationery"/>
    <x v="3"/>
    <n v="2"/>
    <n v="724"/>
    <x v="128"/>
  </r>
  <r>
    <s v="ORD0131"/>
    <d v="2025-02-25T00:00:00"/>
    <x v="3"/>
    <x v="4"/>
    <s v="Electronics"/>
    <x v="4"/>
    <n v="2"/>
    <n v="793"/>
    <x v="129"/>
  </r>
  <r>
    <s v="ORD0132"/>
    <d v="2025-01-31T00:00:00"/>
    <x v="1"/>
    <x v="6"/>
    <s v="Electronics"/>
    <x v="6"/>
    <n v="2"/>
    <n v="554"/>
    <x v="130"/>
  </r>
  <r>
    <s v="ORD0133"/>
    <d v="2025-01-04T00:00:00"/>
    <x v="3"/>
    <x v="6"/>
    <s v="Electronics"/>
    <x v="6"/>
    <n v="4"/>
    <n v="743"/>
    <x v="131"/>
  </r>
  <r>
    <s v="ORD0134"/>
    <d v="2025-02-15T00:00:00"/>
    <x v="1"/>
    <x v="2"/>
    <s v="Electronics"/>
    <x v="2"/>
    <n v="3"/>
    <n v="193"/>
    <x v="132"/>
  </r>
  <r>
    <s v="ORD0135"/>
    <d v="2025-02-19T00:00:00"/>
    <x v="0"/>
    <x v="6"/>
    <s v="Electronics"/>
    <x v="6"/>
    <n v="1"/>
    <n v="851"/>
    <x v="133"/>
  </r>
  <r>
    <s v="ORD0136"/>
    <d v="2025-02-05T00:00:00"/>
    <x v="0"/>
    <x v="2"/>
    <s v="Electronics"/>
    <x v="2"/>
    <n v="5"/>
    <n v="448"/>
    <x v="134"/>
  </r>
  <r>
    <s v="ORD0137"/>
    <d v="2025-01-08T00:00:00"/>
    <x v="2"/>
    <x v="2"/>
    <s v="Electronics"/>
    <x v="2"/>
    <n v="9"/>
    <n v="231"/>
    <x v="135"/>
  </r>
  <r>
    <s v="ORD0138"/>
    <d v="2025-01-04T00:00:00"/>
    <x v="2"/>
    <x v="2"/>
    <s v="Electronics"/>
    <x v="2"/>
    <n v="8"/>
    <n v="191"/>
    <x v="136"/>
  </r>
  <r>
    <s v="ORD0139"/>
    <d v="2025-01-08T00:00:00"/>
    <x v="3"/>
    <x v="2"/>
    <s v="Electronics"/>
    <x v="2"/>
    <n v="5"/>
    <n v="479"/>
    <x v="137"/>
  </r>
  <r>
    <s v="ORD0140"/>
    <d v="2025-02-13T00:00:00"/>
    <x v="2"/>
    <x v="0"/>
    <s v="Stationery"/>
    <x v="0"/>
    <n v="9"/>
    <n v="308"/>
    <x v="103"/>
  </r>
  <r>
    <s v="ORD0141"/>
    <d v="2025-01-07T00:00:00"/>
    <x v="0"/>
    <x v="0"/>
    <s v="Stationery"/>
    <x v="0"/>
    <n v="3"/>
    <n v="292"/>
    <x v="138"/>
  </r>
  <r>
    <s v="ORD0142"/>
    <d v="2025-01-03T00:00:00"/>
    <x v="1"/>
    <x v="0"/>
    <s v="Stationery"/>
    <x v="0"/>
    <n v="5"/>
    <n v="493"/>
    <x v="139"/>
  </r>
  <r>
    <s v="ORD0143"/>
    <d v="2025-01-28T00:00:00"/>
    <x v="2"/>
    <x v="3"/>
    <s v="Stationery"/>
    <x v="3"/>
    <n v="2"/>
    <n v="645"/>
    <x v="140"/>
  </r>
  <r>
    <s v="ORD0144"/>
    <d v="2025-02-13T00:00:00"/>
    <x v="2"/>
    <x v="4"/>
    <s v="Electronics"/>
    <x v="4"/>
    <n v="7"/>
    <n v="851"/>
    <x v="141"/>
  </r>
  <r>
    <s v="ORD0145"/>
    <d v="2025-02-11T00:00:00"/>
    <x v="0"/>
    <x v="1"/>
    <s v="Furniture"/>
    <x v="1"/>
    <n v="8"/>
    <n v="497"/>
    <x v="142"/>
  </r>
  <r>
    <s v="ORD0146"/>
    <d v="2025-02-12T00:00:00"/>
    <x v="0"/>
    <x v="3"/>
    <s v="Stationery"/>
    <x v="3"/>
    <n v="2"/>
    <n v="722"/>
    <x v="143"/>
  </r>
  <r>
    <s v="ORD0147"/>
    <d v="2025-01-02T00:00:00"/>
    <x v="1"/>
    <x v="1"/>
    <s v="Furniture"/>
    <x v="1"/>
    <n v="3"/>
    <n v="332"/>
    <x v="144"/>
  </r>
  <r>
    <s v="ORD0148"/>
    <d v="2025-02-07T00:00:00"/>
    <x v="2"/>
    <x v="2"/>
    <s v="Electronics"/>
    <x v="2"/>
    <n v="5"/>
    <n v="90"/>
    <x v="145"/>
  </r>
  <r>
    <s v="ORD0149"/>
    <d v="2025-01-13T00:00:00"/>
    <x v="3"/>
    <x v="6"/>
    <s v="Electronics"/>
    <x v="6"/>
    <n v="4"/>
    <n v="328"/>
    <x v="146"/>
  </r>
  <r>
    <s v="ORD0150"/>
    <d v="2025-02-25T00:00:00"/>
    <x v="3"/>
    <x v="1"/>
    <s v="Furniture"/>
    <x v="1"/>
    <n v="4"/>
    <n v="865"/>
    <x v="147"/>
  </r>
  <r>
    <s v="ORD0151"/>
    <d v="2025-01-19T00:00:00"/>
    <x v="1"/>
    <x v="6"/>
    <s v="Electronics"/>
    <x v="6"/>
    <n v="9"/>
    <n v="237"/>
    <x v="148"/>
  </r>
  <r>
    <s v="ORD0152"/>
    <d v="2025-02-14T00:00:00"/>
    <x v="0"/>
    <x v="0"/>
    <s v="Stationery"/>
    <x v="0"/>
    <n v="6"/>
    <n v="438"/>
    <x v="149"/>
  </r>
  <r>
    <s v="ORD0153"/>
    <d v="2025-02-27T00:00:00"/>
    <x v="0"/>
    <x v="2"/>
    <s v="Electronics"/>
    <x v="2"/>
    <n v="4"/>
    <n v="528"/>
    <x v="150"/>
  </r>
  <r>
    <s v="ORD0154"/>
    <d v="2025-01-27T00:00:00"/>
    <x v="3"/>
    <x v="0"/>
    <s v="Stationery"/>
    <x v="0"/>
    <n v="7"/>
    <n v="719"/>
    <x v="151"/>
  </r>
  <r>
    <s v="ORD0155"/>
    <d v="2025-03-01T00:00:00"/>
    <x v="2"/>
    <x v="1"/>
    <s v="Furniture"/>
    <x v="1"/>
    <n v="5"/>
    <n v="207"/>
    <x v="114"/>
  </r>
  <r>
    <s v="ORD0156"/>
    <d v="2025-01-01T00:00:00"/>
    <x v="0"/>
    <x v="1"/>
    <s v="Furniture"/>
    <x v="1"/>
    <n v="7"/>
    <n v="271"/>
    <x v="152"/>
  </r>
  <r>
    <s v="ORD0157"/>
    <d v="2025-01-09T00:00:00"/>
    <x v="3"/>
    <x v="3"/>
    <s v="Stationery"/>
    <x v="3"/>
    <n v="7"/>
    <n v="717"/>
    <x v="153"/>
  </r>
  <r>
    <s v="ORD0158"/>
    <d v="2025-02-27T00:00:00"/>
    <x v="3"/>
    <x v="3"/>
    <s v="Stationery"/>
    <x v="3"/>
    <n v="5"/>
    <n v="145"/>
    <x v="154"/>
  </r>
  <r>
    <s v="ORD0159"/>
    <d v="2025-02-12T00:00:00"/>
    <x v="3"/>
    <x v="2"/>
    <s v="Electronics"/>
    <x v="2"/>
    <n v="7"/>
    <n v="234"/>
    <x v="48"/>
  </r>
  <r>
    <s v="ORD0160"/>
    <d v="2025-02-17T00:00:00"/>
    <x v="3"/>
    <x v="5"/>
    <s v="Electronics"/>
    <x v="5"/>
    <n v="6"/>
    <n v="852"/>
    <x v="155"/>
  </r>
  <r>
    <s v="ORD0161"/>
    <d v="2025-02-22T00:00:00"/>
    <x v="1"/>
    <x v="1"/>
    <s v="Furniture"/>
    <x v="1"/>
    <n v="10"/>
    <n v="594"/>
    <x v="156"/>
  </r>
  <r>
    <s v="ORD0162"/>
    <d v="2025-01-08T00:00:00"/>
    <x v="1"/>
    <x v="4"/>
    <s v="Electronics"/>
    <x v="4"/>
    <n v="9"/>
    <n v="264"/>
    <x v="157"/>
  </r>
  <r>
    <s v="ORD0163"/>
    <d v="2025-01-18T00:00:00"/>
    <x v="1"/>
    <x v="0"/>
    <s v="Stationery"/>
    <x v="0"/>
    <n v="8"/>
    <n v="593"/>
    <x v="158"/>
  </r>
  <r>
    <s v="ORD0164"/>
    <d v="2025-01-18T00:00:00"/>
    <x v="1"/>
    <x v="4"/>
    <s v="Electronics"/>
    <x v="4"/>
    <n v="8"/>
    <n v="692"/>
    <x v="159"/>
  </r>
  <r>
    <s v="ORD0165"/>
    <d v="2025-02-04T00:00:00"/>
    <x v="2"/>
    <x v="3"/>
    <s v="Stationery"/>
    <x v="3"/>
    <n v="6"/>
    <n v="676"/>
    <x v="160"/>
  </r>
  <r>
    <s v="ORD0166"/>
    <d v="2025-02-06T00:00:00"/>
    <x v="1"/>
    <x v="3"/>
    <s v="Stationery"/>
    <x v="3"/>
    <n v="1"/>
    <n v="681"/>
    <x v="161"/>
  </r>
  <r>
    <s v="ORD0167"/>
    <d v="2025-02-19T00:00:00"/>
    <x v="0"/>
    <x v="3"/>
    <s v="Stationery"/>
    <x v="3"/>
    <n v="1"/>
    <n v="590"/>
    <x v="69"/>
  </r>
  <r>
    <s v="ORD0168"/>
    <d v="2025-02-16T00:00:00"/>
    <x v="2"/>
    <x v="5"/>
    <s v="Electronics"/>
    <x v="5"/>
    <n v="9"/>
    <n v="310"/>
    <x v="162"/>
  </r>
  <r>
    <s v="ORD0169"/>
    <d v="2025-02-26T00:00:00"/>
    <x v="2"/>
    <x v="5"/>
    <s v="Electronics"/>
    <x v="5"/>
    <n v="1"/>
    <n v="787"/>
    <x v="163"/>
  </r>
  <r>
    <s v="ORD0170"/>
    <d v="2025-01-17T00:00:00"/>
    <x v="3"/>
    <x v="5"/>
    <s v="Electronics"/>
    <x v="5"/>
    <n v="10"/>
    <n v="123"/>
    <x v="164"/>
  </r>
  <r>
    <s v="ORD0171"/>
    <d v="2025-02-15T00:00:00"/>
    <x v="2"/>
    <x v="1"/>
    <s v="Furniture"/>
    <x v="1"/>
    <n v="8"/>
    <n v="37"/>
    <x v="165"/>
  </r>
  <r>
    <s v="ORD0172"/>
    <d v="2025-02-05T00:00:00"/>
    <x v="3"/>
    <x v="6"/>
    <s v="Electronics"/>
    <x v="6"/>
    <n v="1"/>
    <n v="139"/>
    <x v="166"/>
  </r>
  <r>
    <s v="ORD0173"/>
    <d v="2025-02-20T00:00:00"/>
    <x v="1"/>
    <x v="0"/>
    <s v="Stationery"/>
    <x v="0"/>
    <n v="10"/>
    <n v="169"/>
    <x v="167"/>
  </r>
  <r>
    <s v="ORD0174"/>
    <d v="2025-02-27T00:00:00"/>
    <x v="2"/>
    <x v="5"/>
    <s v="Electronics"/>
    <x v="5"/>
    <n v="1"/>
    <n v="117"/>
    <x v="168"/>
  </r>
  <r>
    <s v="ORD0175"/>
    <d v="2025-01-02T00:00:00"/>
    <x v="0"/>
    <x v="1"/>
    <s v="Furniture"/>
    <x v="1"/>
    <n v="7"/>
    <n v="371"/>
    <x v="169"/>
  </r>
  <r>
    <s v="ORD0176"/>
    <d v="2025-01-28T00:00:00"/>
    <x v="1"/>
    <x v="1"/>
    <s v="Furniture"/>
    <x v="1"/>
    <n v="5"/>
    <n v="240"/>
    <x v="170"/>
  </r>
  <r>
    <s v="ORD0177"/>
    <d v="2025-02-18T00:00:00"/>
    <x v="2"/>
    <x v="4"/>
    <s v="Electronics"/>
    <x v="4"/>
    <n v="3"/>
    <n v="748"/>
    <x v="171"/>
  </r>
  <r>
    <s v="ORD0178"/>
    <d v="2025-02-01T00:00:00"/>
    <x v="3"/>
    <x v="3"/>
    <s v="Stationery"/>
    <x v="3"/>
    <n v="1"/>
    <n v="798"/>
    <x v="172"/>
  </r>
  <r>
    <s v="ORD0179"/>
    <d v="2025-01-23T00:00:00"/>
    <x v="3"/>
    <x v="0"/>
    <s v="Stationery"/>
    <x v="0"/>
    <n v="10"/>
    <n v="361"/>
    <x v="173"/>
  </r>
  <r>
    <s v="ORD0180"/>
    <d v="2025-01-08T00:00:00"/>
    <x v="1"/>
    <x v="2"/>
    <s v="Electronics"/>
    <x v="2"/>
    <n v="6"/>
    <n v="68"/>
    <x v="174"/>
  </r>
  <r>
    <s v="ORD0181"/>
    <d v="2025-01-08T00:00:00"/>
    <x v="3"/>
    <x v="4"/>
    <s v="Electronics"/>
    <x v="4"/>
    <n v="3"/>
    <n v="672"/>
    <x v="175"/>
  </r>
  <r>
    <s v="ORD0182"/>
    <d v="2025-02-23T00:00:00"/>
    <x v="2"/>
    <x v="3"/>
    <s v="Stationery"/>
    <x v="3"/>
    <n v="6"/>
    <n v="309"/>
    <x v="176"/>
  </r>
  <r>
    <s v="ORD0183"/>
    <d v="2025-02-10T00:00:00"/>
    <x v="3"/>
    <x v="6"/>
    <s v="Electronics"/>
    <x v="6"/>
    <n v="8"/>
    <n v="346"/>
    <x v="177"/>
  </r>
  <r>
    <s v="ORD0184"/>
    <d v="2025-01-16T00:00:00"/>
    <x v="3"/>
    <x v="6"/>
    <s v="Electronics"/>
    <x v="6"/>
    <n v="2"/>
    <n v="200"/>
    <x v="122"/>
  </r>
  <r>
    <s v="ORD0185"/>
    <d v="2025-01-11T00:00:00"/>
    <x v="2"/>
    <x v="4"/>
    <s v="Electronics"/>
    <x v="4"/>
    <n v="1"/>
    <n v="818"/>
    <x v="178"/>
  </r>
  <r>
    <s v="ORD0186"/>
    <d v="2025-02-08T00:00:00"/>
    <x v="2"/>
    <x v="1"/>
    <s v="Furniture"/>
    <x v="1"/>
    <n v="4"/>
    <n v="81"/>
    <x v="179"/>
  </r>
  <r>
    <s v="ORD0187"/>
    <d v="2025-02-09T00:00:00"/>
    <x v="2"/>
    <x v="6"/>
    <s v="Electronics"/>
    <x v="6"/>
    <n v="7"/>
    <n v="399"/>
    <x v="180"/>
  </r>
  <r>
    <s v="ORD0188"/>
    <d v="2025-02-01T00:00:00"/>
    <x v="1"/>
    <x v="1"/>
    <s v="Furniture"/>
    <x v="1"/>
    <n v="10"/>
    <n v="890"/>
    <x v="181"/>
  </r>
  <r>
    <s v="ORD0189"/>
    <d v="2025-02-17T00:00:00"/>
    <x v="1"/>
    <x v="2"/>
    <s v="Electronics"/>
    <x v="2"/>
    <n v="5"/>
    <n v="475"/>
    <x v="182"/>
  </r>
  <r>
    <s v="ORD0190"/>
    <d v="2025-01-20T00:00:00"/>
    <x v="3"/>
    <x v="2"/>
    <s v="Electronics"/>
    <x v="2"/>
    <n v="10"/>
    <n v="564"/>
    <x v="183"/>
  </r>
  <r>
    <s v="ORD0191"/>
    <d v="2025-02-13T00:00:00"/>
    <x v="2"/>
    <x v="4"/>
    <s v="Electronics"/>
    <x v="4"/>
    <n v="10"/>
    <n v="580"/>
    <x v="184"/>
  </r>
  <r>
    <s v="ORD0192"/>
    <d v="2025-02-03T00:00:00"/>
    <x v="3"/>
    <x v="6"/>
    <s v="Electronics"/>
    <x v="6"/>
    <n v="4"/>
    <n v="693"/>
    <x v="103"/>
  </r>
  <r>
    <s v="ORD0193"/>
    <d v="2025-02-19T00:00:00"/>
    <x v="2"/>
    <x v="0"/>
    <s v="Stationery"/>
    <x v="0"/>
    <n v="7"/>
    <n v="233"/>
    <x v="185"/>
  </r>
  <r>
    <s v="ORD0194"/>
    <d v="2025-01-12T00:00:00"/>
    <x v="0"/>
    <x v="5"/>
    <s v="Electronics"/>
    <x v="5"/>
    <n v="2"/>
    <n v="655"/>
    <x v="29"/>
  </r>
  <r>
    <s v="ORD0195"/>
    <d v="2025-01-08T00:00:00"/>
    <x v="3"/>
    <x v="5"/>
    <s v="Electronics"/>
    <x v="5"/>
    <n v="5"/>
    <n v="408"/>
    <x v="186"/>
  </r>
  <r>
    <s v="ORD0196"/>
    <d v="2025-01-22T00:00:00"/>
    <x v="3"/>
    <x v="6"/>
    <s v="Electronics"/>
    <x v="6"/>
    <n v="10"/>
    <n v="49"/>
    <x v="187"/>
  </r>
  <r>
    <s v="ORD0197"/>
    <d v="2025-01-15T00:00:00"/>
    <x v="0"/>
    <x v="3"/>
    <s v="Stationery"/>
    <x v="3"/>
    <n v="6"/>
    <n v="125"/>
    <x v="188"/>
  </r>
  <r>
    <s v="ORD0198"/>
    <d v="2025-02-11T00:00:00"/>
    <x v="0"/>
    <x v="0"/>
    <s v="Stationery"/>
    <x v="0"/>
    <n v="4"/>
    <n v="363"/>
    <x v="189"/>
  </r>
  <r>
    <s v="ORD0199"/>
    <d v="2025-01-23T00:00:00"/>
    <x v="1"/>
    <x v="3"/>
    <s v="Stationery"/>
    <x v="3"/>
    <n v="5"/>
    <n v="611"/>
    <x v="190"/>
  </r>
  <r>
    <s v="ORD0200"/>
    <d v="2025-01-01T00:00:00"/>
    <x v="2"/>
    <x v="5"/>
    <s v="Electronics"/>
    <x v="5"/>
    <n v="2"/>
    <n v="636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19340-6ABB-4BD1-ADAB-07196A0D404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1" firstHeaderRow="1" firstDataRow="1" firstDataCol="1"/>
  <pivotFields count="9">
    <pivotField showAll="0"/>
    <pivotField numFmtId="14" showAll="0"/>
    <pivotField showAll="0"/>
    <pivotField axis="axisRow" showAll="0" sortType="ascending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06639-645E-4168-B280-12D572E8AF1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1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dataField="1" showAll="0">
      <items count="193">
        <item x="3"/>
        <item x="13"/>
        <item x="68"/>
        <item x="27"/>
        <item x="4"/>
        <item x="56"/>
        <item x="168"/>
        <item x="36"/>
        <item x="50"/>
        <item x="166"/>
        <item x="66"/>
        <item x="71"/>
        <item x="64"/>
        <item x="38"/>
        <item x="165"/>
        <item x="179"/>
        <item x="17"/>
        <item x="113"/>
        <item x="62"/>
        <item x="97"/>
        <item x="122"/>
        <item x="174"/>
        <item x="47"/>
        <item x="57"/>
        <item x="145"/>
        <item x="104"/>
        <item x="121"/>
        <item x="187"/>
        <item x="88"/>
        <item x="94"/>
        <item x="6"/>
        <item x="132"/>
        <item x="75"/>
        <item x="69"/>
        <item x="8"/>
        <item x="161"/>
        <item x="89"/>
        <item x="67"/>
        <item x="127"/>
        <item x="79"/>
        <item x="154"/>
        <item x="59"/>
        <item x="118"/>
        <item x="188"/>
        <item x="163"/>
        <item x="172"/>
        <item x="178"/>
        <item x="54"/>
        <item x="133"/>
        <item x="0"/>
        <item x="138"/>
        <item x="123"/>
        <item x="22"/>
        <item x="63"/>
        <item x="30"/>
        <item x="144"/>
        <item x="45"/>
        <item x="42"/>
        <item x="100"/>
        <item x="95"/>
        <item x="114"/>
        <item x="28"/>
        <item x="109"/>
        <item x="130"/>
        <item x="35"/>
        <item x="77"/>
        <item x="170"/>
        <item x="164"/>
        <item x="191"/>
        <item x="53"/>
        <item x="140"/>
        <item x="29"/>
        <item x="146"/>
        <item x="73"/>
        <item x="11"/>
        <item x="15"/>
        <item x="51"/>
        <item x="84"/>
        <item x="143"/>
        <item x="128"/>
        <item x="189"/>
        <item x="7"/>
        <item x="31"/>
        <item x="46"/>
        <item x="102"/>
        <item x="136"/>
        <item x="44"/>
        <item x="129"/>
        <item x="91"/>
        <item x="185"/>
        <item x="126"/>
        <item x="48"/>
        <item x="111"/>
        <item x="58"/>
        <item x="25"/>
        <item x="167"/>
        <item x="98"/>
        <item x="90"/>
        <item x="101"/>
        <item x="96"/>
        <item x="176"/>
        <item x="116"/>
        <item x="81"/>
        <item x="43"/>
        <item x="18"/>
        <item x="152"/>
        <item x="80"/>
        <item x="5"/>
        <item x="74"/>
        <item x="99"/>
        <item x="120"/>
        <item x="12"/>
        <item x="175"/>
        <item x="186"/>
        <item x="125"/>
        <item x="135"/>
        <item x="150"/>
        <item x="148"/>
        <item x="40"/>
        <item x="37"/>
        <item x="110"/>
        <item x="55"/>
        <item x="134"/>
        <item x="171"/>
        <item x="92"/>
        <item x="65"/>
        <item x="112"/>
        <item x="70"/>
        <item x="182"/>
        <item x="157"/>
        <item x="137"/>
        <item x="139"/>
        <item x="33"/>
        <item x="52"/>
        <item x="169"/>
        <item x="107"/>
        <item x="149"/>
        <item x="85"/>
        <item x="124"/>
        <item x="177"/>
        <item x="103"/>
        <item x="162"/>
        <item x="180"/>
        <item x="32"/>
        <item x="131"/>
        <item x="10"/>
        <item x="26"/>
        <item x="190"/>
        <item x="14"/>
        <item x="19"/>
        <item x="72"/>
        <item x="78"/>
        <item x="86"/>
        <item x="147"/>
        <item x="39"/>
        <item x="1"/>
        <item x="173"/>
        <item x="23"/>
        <item x="117"/>
        <item x="16"/>
        <item x="142"/>
        <item x="160"/>
        <item x="9"/>
        <item x="34"/>
        <item x="83"/>
        <item x="158"/>
        <item x="93"/>
        <item x="106"/>
        <item x="153"/>
        <item x="151"/>
        <item x="155"/>
        <item x="76"/>
        <item x="24"/>
        <item x="60"/>
        <item x="159"/>
        <item x="183"/>
        <item x="184"/>
        <item x="156"/>
        <item x="141"/>
        <item x="21"/>
        <item x="61"/>
        <item x="105"/>
        <item x="49"/>
        <item x="20"/>
        <item x="119"/>
        <item x="87"/>
        <item x="82"/>
        <item x="108"/>
        <item x="115"/>
        <item x="2"/>
        <item x="41"/>
        <item x="181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EEE79-028D-4FBA-8765-BE3117A49C2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D3:E8" firstHeaderRow="1" firstDataRow="1" firstDataCol="1"/>
  <pivotFields count="9"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8" baseField="0" baseItem="0"/>
  </dataFields>
  <chartFormats count="1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A114A3-4738-4A7B-A2F3-BA7F2DF02332}" autoFormatId="16" applyNumberFormats="0" applyBorderFormats="0" applyFontFormats="0" applyPatternFormats="0" applyAlignmentFormats="0" applyWidthHeightFormats="0">
  <queryTableRefresh nextId="11">
    <queryTableFields count="9">
      <queryTableField id="1" name="Order_ID" tableColumnId="1"/>
      <queryTableField id="2" name="Order_Date.1" tableColumnId="2"/>
      <queryTableField id="3" name="Region" tableColumnId="3"/>
      <queryTableField id="4" name="Product" tableColumnId="4"/>
      <queryTableField id="5" name="Category" tableColumnId="5"/>
      <queryTableField id="10" dataBound="0" tableColumnId="10"/>
      <queryTableField id="6" name="Quantity" tableColumnId="6"/>
      <queryTableField id="7" name="Unit_Price" tableColumnId="7"/>
      <queryTableField id="9" name="total reven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9A4E31-12B7-4515-A3D9-0B8A46DC40EF}" name="Table1_1" displayName="Table1_1" ref="A1:I201" tableType="queryTable" totalsRowShown="0">
  <autoFilter ref="A1:I201" xr:uid="{8D9A4E31-12B7-4515-A3D9-0B8A46DC40EF}"/>
  <tableColumns count="9">
    <tableColumn id="1" xr3:uid="{9B54FA5F-9261-4A53-B3AC-4872A937AEA1}" uniqueName="1" name="Order_ID" queryTableFieldId="1" dataDxfId="6"/>
    <tableColumn id="2" xr3:uid="{A40C5B85-23C7-4761-8F9E-6B871847712B}" uniqueName="2" name="Order_Date.1" queryTableFieldId="2" dataDxfId="5"/>
    <tableColumn id="3" xr3:uid="{E4D6E4E9-FCDB-4AE3-B734-657C7C80E00C}" uniqueName="3" name="Region" queryTableFieldId="3" dataDxfId="4"/>
    <tableColumn id="4" xr3:uid="{9CF62257-99E0-4B61-9A5D-442C96887795}" uniqueName="4" name="Product" queryTableFieldId="4" dataDxfId="3"/>
    <tableColumn id="5" xr3:uid="{568FECB7-3855-4E1B-85ED-F46F3481636B}" uniqueName="5" name="Category" queryTableFieldId="5" dataDxfId="2"/>
    <tableColumn id="10" xr3:uid="{E6878544-2BB1-4218-A7AC-C5D6A843D3C9}" uniqueName="10" name="Product Category" queryTableFieldId="10" dataDxfId="0">
      <calculatedColumnFormula>_xlfn.CONCAT(Table1_1[[#This Row],[Product]],Table1_1[[#This Row],[Category]])</calculatedColumnFormula>
    </tableColumn>
    <tableColumn id="6" xr3:uid="{3141AEF1-9007-48DE-9878-02593DA6162C}" uniqueName="6" name="Quantity" queryTableFieldId="6"/>
    <tableColumn id="7" xr3:uid="{B0300275-2CC2-499D-A71A-570258AAE170}" uniqueName="7" name="Unit_Price" queryTableFieldId="7"/>
    <tableColumn id="9" xr3:uid="{F5271744-7F9C-46FD-9380-55CFB9A477E1}" uniqueName="9" name="total revenu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28FEB-F736-4263-8CFE-20133C04012F}" name="Table1" displayName="Table1" ref="A1:G201" totalsRowShown="0" headerRowDxfId="1" headerRowBorderDxfId="15" tableBorderDxfId="16" totalsRowBorderDxfId="14">
  <autoFilter ref="A1:G201" xr:uid="{20E28FEB-F736-4263-8CFE-20133C04012F}"/>
  <tableColumns count="7">
    <tableColumn id="1" xr3:uid="{AEFA214D-F11C-4AB8-99F1-0FAFD27534D5}" name="Order_ID" dataDxfId="13"/>
    <tableColumn id="2" xr3:uid="{E281DCF8-FE57-45FA-96A6-B6EDC39C2765}" name="Order_Date" dataDxfId="12"/>
    <tableColumn id="3" xr3:uid="{5A9B68E0-FDA3-4A21-91C6-C6FB32D6F27B}" name="Region" dataDxfId="11"/>
    <tableColumn id="4" xr3:uid="{62C547F4-BE92-4F00-AD72-236907759711}" name="Product" dataDxfId="10"/>
    <tableColumn id="5" xr3:uid="{4E80FEAC-29EA-4735-A32A-6DADAED89F9E}" name="Category" dataDxfId="9"/>
    <tableColumn id="6" xr3:uid="{08E74C32-892E-481F-9748-E92D83A14BB6}" name="Quantity" dataDxfId="8"/>
    <tableColumn id="7" xr3:uid="{E5B0823C-6BF2-40FD-9C24-AEB80A04CBEB}" name="Unit_Pric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10" workbookViewId="0">
      <selection activeCell="A26" sqref="A26"/>
    </sheetView>
  </sheetViews>
  <sheetFormatPr defaultRowHeight="25.5" x14ac:dyDescent="0.8"/>
  <cols>
    <col min="1" max="1" width="92.5546875" bestFit="1" customWidth="1"/>
  </cols>
  <sheetData>
    <row r="1" spans="1:1" ht="27.75" x14ac:dyDescent="0.9">
      <c r="A1" s="1" t="s">
        <v>0</v>
      </c>
    </row>
    <row r="3" spans="1:1" ht="27.75" x14ac:dyDescent="0.9">
      <c r="A3" s="2" t="s">
        <v>1</v>
      </c>
    </row>
    <row r="4" spans="1:1" x14ac:dyDescent="0.8">
      <c r="A4" t="s">
        <v>2</v>
      </c>
    </row>
    <row r="5" spans="1:1" x14ac:dyDescent="0.8">
      <c r="A5" t="s">
        <v>3</v>
      </c>
    </row>
    <row r="7" spans="1:1" ht="27.75" x14ac:dyDescent="0.9">
      <c r="A7" s="2" t="s">
        <v>4</v>
      </c>
    </row>
    <row r="8" spans="1:1" x14ac:dyDescent="0.8">
      <c r="A8" t="s">
        <v>5</v>
      </c>
    </row>
    <row r="9" spans="1:1" x14ac:dyDescent="0.8">
      <c r="A9" t="s">
        <v>6</v>
      </c>
    </row>
    <row r="11" spans="1:1" ht="27.75" x14ac:dyDescent="0.9">
      <c r="A11" s="2" t="s">
        <v>7</v>
      </c>
    </row>
    <row r="12" spans="1:1" x14ac:dyDescent="0.8">
      <c r="A12" t="s">
        <v>8</v>
      </c>
    </row>
    <row r="13" spans="1:1" x14ac:dyDescent="0.8">
      <c r="A13" t="s">
        <v>9</v>
      </c>
    </row>
    <row r="14" spans="1:1" x14ac:dyDescent="0.8">
      <c r="A14" t="s">
        <v>10</v>
      </c>
    </row>
    <row r="15" spans="1:1" x14ac:dyDescent="0.8">
      <c r="A15" t="s">
        <v>11</v>
      </c>
    </row>
    <row r="16" spans="1:1" x14ac:dyDescent="0.8">
      <c r="A16" t="s">
        <v>12</v>
      </c>
    </row>
    <row r="17" spans="1:1" x14ac:dyDescent="0.8">
      <c r="A17" t="s">
        <v>13</v>
      </c>
    </row>
    <row r="18" spans="1:1" x14ac:dyDescent="0.8">
      <c r="A18" t="s">
        <v>14</v>
      </c>
    </row>
    <row r="20" spans="1:1" ht="27.75" x14ac:dyDescent="0.9">
      <c r="A20" s="2" t="s">
        <v>15</v>
      </c>
    </row>
    <row r="21" spans="1:1" x14ac:dyDescent="0.8">
      <c r="A21" t="s">
        <v>16</v>
      </c>
    </row>
    <row r="22" spans="1:1" x14ac:dyDescent="0.8">
      <c r="A22" t="s">
        <v>17</v>
      </c>
    </row>
    <row r="23" spans="1:1" x14ac:dyDescent="0.8">
      <c r="A23" t="s">
        <v>18</v>
      </c>
    </row>
    <row r="24" spans="1:1" x14ac:dyDescent="0.8">
      <c r="A24" t="s">
        <v>19</v>
      </c>
    </row>
    <row r="26" spans="1:1" ht="27.75" x14ac:dyDescent="0.9">
      <c r="A26" s="2" t="s">
        <v>20</v>
      </c>
    </row>
    <row r="27" spans="1:1" x14ac:dyDescent="0.8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9E6-579F-4F60-8ABF-A2A3E063ABB0}">
  <dimension ref="D3:L11"/>
  <sheetViews>
    <sheetView tabSelected="1" workbookViewId="0">
      <selection activeCell="O16" sqref="O16"/>
    </sheetView>
  </sheetViews>
  <sheetFormatPr defaultRowHeight="25.5" x14ac:dyDescent="0.8"/>
  <cols>
    <col min="4" max="4" width="11" bestFit="1" customWidth="1"/>
    <col min="5" max="5" width="15.6640625" bestFit="1" customWidth="1"/>
    <col min="7" max="7" width="15.5546875" bestFit="1" customWidth="1"/>
    <col min="8" max="8" width="15.6640625" bestFit="1" customWidth="1"/>
    <col min="10" max="10" width="0.77734375" customWidth="1"/>
    <col min="11" max="11" width="11" bestFit="1" customWidth="1"/>
    <col min="12" max="12" width="15.6640625" bestFit="1" customWidth="1"/>
  </cols>
  <sheetData>
    <row r="3" spans="4:12" x14ac:dyDescent="0.8">
      <c r="D3" s="16" t="s">
        <v>246</v>
      </c>
      <c r="E3" t="s">
        <v>245</v>
      </c>
      <c r="G3" s="16" t="s">
        <v>246</v>
      </c>
      <c r="H3" t="s">
        <v>245</v>
      </c>
      <c r="K3" s="16" t="s">
        <v>246</v>
      </c>
      <c r="L3" t="s">
        <v>245</v>
      </c>
    </row>
    <row r="4" spans="4:12" x14ac:dyDescent="0.8">
      <c r="D4" s="17" t="s">
        <v>47</v>
      </c>
      <c r="E4" s="11">
        <v>116463</v>
      </c>
      <c r="G4" s="17" t="s">
        <v>248</v>
      </c>
      <c r="H4" s="11">
        <v>90635</v>
      </c>
      <c r="K4" s="17" t="s">
        <v>35</v>
      </c>
      <c r="L4" s="11">
        <v>90635</v>
      </c>
    </row>
    <row r="5" spans="4:12" x14ac:dyDescent="0.8">
      <c r="D5" s="17" t="s">
        <v>34</v>
      </c>
      <c r="E5" s="11">
        <v>104808</v>
      </c>
      <c r="G5" s="17" t="s">
        <v>249</v>
      </c>
      <c r="H5" s="11">
        <v>64187</v>
      </c>
      <c r="K5" s="17" t="s">
        <v>49</v>
      </c>
      <c r="L5" s="11">
        <v>64187</v>
      </c>
    </row>
    <row r="6" spans="4:12" x14ac:dyDescent="0.8">
      <c r="D6" s="17" t="s">
        <v>30</v>
      </c>
      <c r="E6" s="11">
        <v>108472</v>
      </c>
      <c r="G6" s="17" t="s">
        <v>250</v>
      </c>
      <c r="H6" s="11">
        <v>53108</v>
      </c>
      <c r="K6" s="17" t="s">
        <v>39</v>
      </c>
      <c r="L6" s="11">
        <v>53108</v>
      </c>
    </row>
    <row r="7" spans="4:12" x14ac:dyDescent="0.8">
      <c r="D7" s="17" t="s">
        <v>51</v>
      </c>
      <c r="E7" s="11">
        <v>117043</v>
      </c>
      <c r="G7" s="17" t="s">
        <v>251</v>
      </c>
      <c r="H7" s="11">
        <v>43717</v>
      </c>
      <c r="K7" s="17" t="s">
        <v>54</v>
      </c>
      <c r="L7" s="11">
        <v>43717</v>
      </c>
    </row>
    <row r="8" spans="4:12" x14ac:dyDescent="0.8">
      <c r="D8" s="17" t="s">
        <v>247</v>
      </c>
      <c r="E8" s="11">
        <v>446786</v>
      </c>
      <c r="G8" s="17" t="s">
        <v>252</v>
      </c>
      <c r="H8" s="11">
        <v>66018</v>
      </c>
      <c r="K8" s="17" t="s">
        <v>52</v>
      </c>
      <c r="L8" s="11">
        <v>66018</v>
      </c>
    </row>
    <row r="9" spans="4:12" x14ac:dyDescent="0.8">
      <c r="G9" s="17" t="s">
        <v>253</v>
      </c>
      <c r="H9" s="11">
        <v>78975</v>
      </c>
      <c r="K9" s="17" t="s">
        <v>31</v>
      </c>
      <c r="L9" s="11">
        <v>78975</v>
      </c>
    </row>
    <row r="10" spans="4:12" x14ac:dyDescent="0.8">
      <c r="G10" s="17" t="s">
        <v>254</v>
      </c>
      <c r="H10" s="11">
        <v>50146</v>
      </c>
      <c r="K10" s="17" t="s">
        <v>45</v>
      </c>
      <c r="L10" s="11">
        <v>50146</v>
      </c>
    </row>
    <row r="11" spans="4:12" x14ac:dyDescent="0.8">
      <c r="G11" s="17" t="s">
        <v>247</v>
      </c>
      <c r="H11" s="11">
        <v>446786</v>
      </c>
      <c r="K11" s="17" t="s">
        <v>247</v>
      </c>
      <c r="L11" s="11">
        <v>446786</v>
      </c>
    </row>
  </sheetData>
  <conditionalFormatting sqref="L3">
    <cfRule type="top10" priority="2" rank="5"/>
  </conditionalFormatting>
  <conditionalFormatting sqref="L3">
    <cfRule type="top10" priority="1" rank="5"/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7A87-B271-44DD-BBCD-7DCFE765C065}">
  <dimension ref="A1:I201"/>
  <sheetViews>
    <sheetView workbookViewId="0">
      <selection activeCell="F2" sqref="F2"/>
    </sheetView>
  </sheetViews>
  <sheetFormatPr defaultRowHeight="25.5" x14ac:dyDescent="0.8"/>
  <cols>
    <col min="1" max="1" width="9.109375" bestFit="1" customWidth="1"/>
    <col min="2" max="2" width="12.21875" bestFit="1" customWidth="1"/>
    <col min="3" max="3" width="7.6640625" bestFit="1" customWidth="1"/>
    <col min="4" max="4" width="9" bestFit="1" customWidth="1"/>
    <col min="5" max="5" width="11.5546875" customWidth="1"/>
    <col min="6" max="6" width="18.6640625" customWidth="1"/>
    <col min="7" max="7" width="11.5546875" customWidth="1"/>
    <col min="8" max="8" width="12.33203125" customWidth="1"/>
    <col min="9" max="9" width="13.21875" customWidth="1"/>
  </cols>
  <sheetData>
    <row r="1" spans="1:9" x14ac:dyDescent="0.8">
      <c r="A1" t="s">
        <v>22</v>
      </c>
      <c r="B1" t="s">
        <v>243</v>
      </c>
      <c r="C1" t="s">
        <v>24</v>
      </c>
      <c r="D1" t="s">
        <v>25</v>
      </c>
      <c r="E1" t="s">
        <v>26</v>
      </c>
      <c r="F1" t="s">
        <v>255</v>
      </c>
      <c r="G1" t="s">
        <v>27</v>
      </c>
      <c r="H1" t="s">
        <v>28</v>
      </c>
      <c r="I1" t="s">
        <v>244</v>
      </c>
    </row>
    <row r="2" spans="1:9" x14ac:dyDescent="0.8">
      <c r="A2" s="11" t="s">
        <v>29</v>
      </c>
      <c r="B2" s="12">
        <v>45685</v>
      </c>
      <c r="C2" s="11" t="s">
        <v>30</v>
      </c>
      <c r="D2" s="11" t="s">
        <v>31</v>
      </c>
      <c r="E2" s="11" t="s">
        <v>32</v>
      </c>
      <c r="F2" s="11" t="str">
        <f>_xlfn.CONCAT(Table1_1[[#This Row],[Product]],Table1_1[[#This Row],[Category]])</f>
        <v>NotebookStationery</v>
      </c>
      <c r="G2">
        <v>6</v>
      </c>
      <c r="H2">
        <v>142</v>
      </c>
      <c r="I2">
        <v>852</v>
      </c>
    </row>
    <row r="3" spans="1:9" x14ac:dyDescent="0.8">
      <c r="A3" s="11" t="s">
        <v>33</v>
      </c>
      <c r="B3" s="12">
        <v>45686</v>
      </c>
      <c r="C3" s="11" t="s">
        <v>34</v>
      </c>
      <c r="D3" s="11" t="s">
        <v>35</v>
      </c>
      <c r="E3" s="11" t="s">
        <v>36</v>
      </c>
      <c r="F3" s="11" t="str">
        <f>_xlfn.CONCAT(Table1_1[[#This Row],[Product]],Table1_1[[#This Row],[Category]])</f>
        <v>Desk ChairFurniture</v>
      </c>
      <c r="G3">
        <v>4</v>
      </c>
      <c r="H3">
        <v>890</v>
      </c>
      <c r="I3">
        <v>3560</v>
      </c>
    </row>
    <row r="4" spans="1:9" x14ac:dyDescent="0.8">
      <c r="A4" s="11" t="s">
        <v>37</v>
      </c>
      <c r="B4" s="12">
        <v>45701</v>
      </c>
      <c r="C4" s="11" t="s">
        <v>30</v>
      </c>
      <c r="D4" s="11" t="s">
        <v>31</v>
      </c>
      <c r="E4" s="11" t="s">
        <v>32</v>
      </c>
      <c r="F4" s="11" t="str">
        <f>_xlfn.CONCAT(Table1_1[[#This Row],[Product]],Table1_1[[#This Row],[Category]])</f>
        <v>NotebookStationery</v>
      </c>
      <c r="G4">
        <v>10</v>
      </c>
      <c r="H4">
        <v>786</v>
      </c>
      <c r="I4">
        <v>7860</v>
      </c>
    </row>
    <row r="5" spans="1:9" x14ac:dyDescent="0.8">
      <c r="A5" s="11" t="s">
        <v>38</v>
      </c>
      <c r="B5" s="12">
        <v>45662</v>
      </c>
      <c r="C5" s="11" t="s">
        <v>30</v>
      </c>
      <c r="D5" s="11" t="s">
        <v>39</v>
      </c>
      <c r="E5" s="11" t="s">
        <v>40</v>
      </c>
      <c r="F5" s="11" t="str">
        <f>_xlfn.CONCAT(Table1_1[[#This Row],[Product]],Table1_1[[#This Row],[Category]])</f>
        <v>LaptopElectronics</v>
      </c>
      <c r="G5">
        <v>2</v>
      </c>
      <c r="H5">
        <v>20</v>
      </c>
      <c r="I5">
        <v>40</v>
      </c>
    </row>
    <row r="6" spans="1:9" x14ac:dyDescent="0.8">
      <c r="A6" s="11" t="s">
        <v>41</v>
      </c>
      <c r="B6" s="12">
        <v>45692</v>
      </c>
      <c r="C6" s="11" t="s">
        <v>30</v>
      </c>
      <c r="D6" s="11" t="s">
        <v>39</v>
      </c>
      <c r="E6" s="11" t="s">
        <v>40</v>
      </c>
      <c r="F6" s="11" t="str">
        <f>_xlfn.CONCAT(Table1_1[[#This Row],[Product]],Table1_1[[#This Row],[Category]])</f>
        <v>LaptopElectronics</v>
      </c>
      <c r="G6">
        <v>1</v>
      </c>
      <c r="H6">
        <v>74</v>
      </c>
      <c r="I6">
        <v>74</v>
      </c>
    </row>
    <row r="7" spans="1:9" x14ac:dyDescent="0.8">
      <c r="A7" s="11" t="s">
        <v>42</v>
      </c>
      <c r="B7" s="12">
        <v>45711</v>
      </c>
      <c r="C7" s="11" t="s">
        <v>30</v>
      </c>
      <c r="D7" s="11" t="s">
        <v>35</v>
      </c>
      <c r="E7" s="11" t="s">
        <v>36</v>
      </c>
      <c r="F7" s="11" t="str">
        <f>_xlfn.CONCAT(Table1_1[[#This Row],[Product]],Table1_1[[#This Row],[Category]])</f>
        <v>Desk ChairFurniture</v>
      </c>
      <c r="G7">
        <v>4</v>
      </c>
      <c r="H7">
        <v>486</v>
      </c>
      <c r="I7">
        <v>1944</v>
      </c>
    </row>
    <row r="8" spans="1:9" x14ac:dyDescent="0.8">
      <c r="A8" s="11" t="s">
        <v>43</v>
      </c>
      <c r="B8" s="12">
        <v>45680</v>
      </c>
      <c r="C8" s="11" t="s">
        <v>30</v>
      </c>
      <c r="D8" s="11" t="s">
        <v>31</v>
      </c>
      <c r="E8" s="11" t="s">
        <v>32</v>
      </c>
      <c r="F8" s="11" t="str">
        <f>_xlfn.CONCAT(Table1_1[[#This Row],[Product]],Table1_1[[#This Row],[Category]])</f>
        <v>NotebookStationery</v>
      </c>
      <c r="G8">
        <v>1</v>
      </c>
      <c r="H8">
        <v>560</v>
      </c>
      <c r="I8">
        <v>560</v>
      </c>
    </row>
    <row r="9" spans="1:9" x14ac:dyDescent="0.8">
      <c r="A9" s="11" t="s">
        <v>44</v>
      </c>
      <c r="B9" s="12">
        <v>45715</v>
      </c>
      <c r="C9" s="11" t="s">
        <v>34</v>
      </c>
      <c r="D9" s="11" t="s">
        <v>45</v>
      </c>
      <c r="E9" s="11" t="s">
        <v>32</v>
      </c>
      <c r="F9" s="11" t="str">
        <f>_xlfn.CONCAT(Table1_1[[#This Row],[Product]],Table1_1[[#This Row],[Category]])</f>
        <v>Pen PackStationery</v>
      </c>
      <c r="G9">
        <v>2</v>
      </c>
      <c r="H9">
        <v>737</v>
      </c>
      <c r="I9">
        <v>1474</v>
      </c>
    </row>
    <row r="10" spans="1:9" x14ac:dyDescent="0.8">
      <c r="A10" s="11" t="s">
        <v>46</v>
      </c>
      <c r="B10" s="12">
        <v>45659</v>
      </c>
      <c r="C10" s="11" t="s">
        <v>47</v>
      </c>
      <c r="D10" s="11" t="s">
        <v>31</v>
      </c>
      <c r="E10" s="11" t="s">
        <v>32</v>
      </c>
      <c r="F10" s="11" t="str">
        <f>_xlfn.CONCAT(Table1_1[[#This Row],[Product]],Table1_1[[#This Row],[Category]])</f>
        <v>NotebookStationery</v>
      </c>
      <c r="G10">
        <v>1</v>
      </c>
      <c r="H10">
        <v>647</v>
      </c>
      <c r="I10">
        <v>647</v>
      </c>
    </row>
    <row r="11" spans="1:9" x14ac:dyDescent="0.8">
      <c r="A11" s="11" t="s">
        <v>48</v>
      </c>
      <c r="B11" s="12">
        <v>45702</v>
      </c>
      <c r="C11" s="11" t="s">
        <v>30</v>
      </c>
      <c r="D11" s="11" t="s">
        <v>49</v>
      </c>
      <c r="E11" s="11" t="s">
        <v>40</v>
      </c>
      <c r="F11" s="11" t="str">
        <f>_xlfn.CONCAT(Table1_1[[#This Row],[Product]],Table1_1[[#This Row],[Category]])</f>
        <v>KeyboardElectronics</v>
      </c>
      <c r="G11">
        <v>6</v>
      </c>
      <c r="H11">
        <v>681</v>
      </c>
      <c r="I11">
        <v>4086</v>
      </c>
    </row>
    <row r="12" spans="1:9" x14ac:dyDescent="0.8">
      <c r="A12" s="11" t="s">
        <v>50</v>
      </c>
      <c r="B12" s="12">
        <v>45703</v>
      </c>
      <c r="C12" s="11" t="s">
        <v>51</v>
      </c>
      <c r="D12" s="11" t="s">
        <v>52</v>
      </c>
      <c r="E12" s="11" t="s">
        <v>40</v>
      </c>
      <c r="F12" s="11" t="str">
        <f>_xlfn.CONCAT(Table1_1[[#This Row],[Product]],Table1_1[[#This Row],[Category]])</f>
        <v>MouseElectronics</v>
      </c>
      <c r="G12">
        <v>7</v>
      </c>
      <c r="H12">
        <v>429</v>
      </c>
      <c r="I12">
        <v>3003</v>
      </c>
    </row>
    <row r="13" spans="1:9" x14ac:dyDescent="0.8">
      <c r="A13" s="11" t="s">
        <v>53</v>
      </c>
      <c r="B13" s="12">
        <v>45679</v>
      </c>
      <c r="C13" s="11" t="s">
        <v>47</v>
      </c>
      <c r="D13" s="11" t="s">
        <v>54</v>
      </c>
      <c r="E13" s="11" t="s">
        <v>40</v>
      </c>
      <c r="F13" s="11" t="str">
        <f>_xlfn.CONCAT(Table1_1[[#This Row],[Product]],Table1_1[[#This Row],[Category]])</f>
        <v>MonitorElectronics</v>
      </c>
      <c r="G13">
        <v>7</v>
      </c>
      <c r="H13">
        <v>194</v>
      </c>
      <c r="I13">
        <v>1358</v>
      </c>
    </row>
    <row r="14" spans="1:9" x14ac:dyDescent="0.8">
      <c r="A14" s="11" t="s">
        <v>55</v>
      </c>
      <c r="B14" s="12">
        <v>45711</v>
      </c>
      <c r="C14" s="11" t="s">
        <v>30</v>
      </c>
      <c r="D14" s="11" t="s">
        <v>45</v>
      </c>
      <c r="E14" s="11" t="s">
        <v>32</v>
      </c>
      <c r="F14" s="11" t="str">
        <f>_xlfn.CONCAT(Table1_1[[#This Row],[Product]],Table1_1[[#This Row],[Category]])</f>
        <v>Pen PackStationery</v>
      </c>
      <c r="G14">
        <v>4</v>
      </c>
      <c r="H14">
        <v>503</v>
      </c>
      <c r="I14">
        <v>2012</v>
      </c>
    </row>
    <row r="15" spans="1:9" x14ac:dyDescent="0.8">
      <c r="A15" s="11" t="s">
        <v>56</v>
      </c>
      <c r="B15" s="12">
        <v>45691</v>
      </c>
      <c r="C15" s="11" t="s">
        <v>34</v>
      </c>
      <c r="D15" s="11" t="s">
        <v>39</v>
      </c>
      <c r="E15" s="11" t="s">
        <v>40</v>
      </c>
      <c r="F15" s="11" t="str">
        <f>_xlfn.CONCAT(Table1_1[[#This Row],[Product]],Table1_1[[#This Row],[Category]])</f>
        <v>LaptopElectronics</v>
      </c>
      <c r="G15">
        <v>2</v>
      </c>
      <c r="H15">
        <v>21</v>
      </c>
      <c r="I15">
        <v>42</v>
      </c>
    </row>
    <row r="16" spans="1:9" x14ac:dyDescent="0.8">
      <c r="A16" s="11" t="s">
        <v>57</v>
      </c>
      <c r="B16" s="12">
        <v>45693</v>
      </c>
      <c r="C16" s="11" t="s">
        <v>51</v>
      </c>
      <c r="D16" s="11" t="s">
        <v>39</v>
      </c>
      <c r="E16" s="11" t="s">
        <v>40</v>
      </c>
      <c r="F16" s="11" t="str">
        <f>_xlfn.CONCAT(Table1_1[[#This Row],[Product]],Table1_1[[#This Row],[Category]])</f>
        <v>LaptopElectronics</v>
      </c>
      <c r="G16">
        <v>6</v>
      </c>
      <c r="H16">
        <v>511</v>
      </c>
      <c r="I16">
        <v>3066</v>
      </c>
    </row>
    <row r="17" spans="1:9" x14ac:dyDescent="0.8">
      <c r="A17" s="11" t="s">
        <v>58</v>
      </c>
      <c r="B17" s="12">
        <v>45714</v>
      </c>
      <c r="C17" s="11" t="s">
        <v>30</v>
      </c>
      <c r="D17" s="11" t="s">
        <v>45</v>
      </c>
      <c r="E17" s="11" t="s">
        <v>32</v>
      </c>
      <c r="F17" s="11" t="str">
        <f>_xlfn.CONCAT(Table1_1[[#This Row],[Product]],Table1_1[[#This Row],[Category]])</f>
        <v>Pen PackStationery</v>
      </c>
      <c r="G17">
        <v>6</v>
      </c>
      <c r="H17">
        <v>235</v>
      </c>
      <c r="I17">
        <v>1410</v>
      </c>
    </row>
    <row r="18" spans="1:9" x14ac:dyDescent="0.8">
      <c r="A18" s="11" t="s">
        <v>59</v>
      </c>
      <c r="B18" s="12">
        <v>45689</v>
      </c>
      <c r="C18" s="11" t="s">
        <v>34</v>
      </c>
      <c r="D18" s="11" t="s">
        <v>31</v>
      </c>
      <c r="E18" s="11" t="s">
        <v>32</v>
      </c>
      <c r="F18" s="11" t="str">
        <f>_xlfn.CONCAT(Table1_1[[#This Row],[Product]],Table1_1[[#This Row],[Category]])</f>
        <v>NotebookStationery</v>
      </c>
      <c r="G18">
        <v>6</v>
      </c>
      <c r="H18">
        <v>646</v>
      </c>
      <c r="I18">
        <v>3876</v>
      </c>
    </row>
    <row r="19" spans="1:9" x14ac:dyDescent="0.8">
      <c r="A19" s="11" t="s">
        <v>60</v>
      </c>
      <c r="B19" s="12">
        <v>45679</v>
      </c>
      <c r="C19" s="11" t="s">
        <v>51</v>
      </c>
      <c r="D19" s="11" t="s">
        <v>39</v>
      </c>
      <c r="E19" s="11" t="s">
        <v>40</v>
      </c>
      <c r="F19" s="11" t="str">
        <f>_xlfn.CONCAT(Table1_1[[#This Row],[Product]],Table1_1[[#This Row],[Category]])</f>
        <v>LaptopElectronics</v>
      </c>
      <c r="G19">
        <v>1</v>
      </c>
      <c r="H19">
        <v>375</v>
      </c>
      <c r="I19">
        <v>375</v>
      </c>
    </row>
    <row r="20" spans="1:9" x14ac:dyDescent="0.8">
      <c r="A20" s="11" t="s">
        <v>61</v>
      </c>
      <c r="B20" s="12">
        <v>45693</v>
      </c>
      <c r="C20" s="11" t="s">
        <v>47</v>
      </c>
      <c r="D20" s="11" t="s">
        <v>45</v>
      </c>
      <c r="E20" s="11" t="s">
        <v>32</v>
      </c>
      <c r="F20" s="11" t="str">
        <f>_xlfn.CONCAT(Table1_1[[#This Row],[Product]],Table1_1[[#This Row],[Category]])</f>
        <v>Pen PackStationery</v>
      </c>
      <c r="G20">
        <v>4</v>
      </c>
      <c r="H20">
        <v>474</v>
      </c>
      <c r="I20">
        <v>1896</v>
      </c>
    </row>
    <row r="21" spans="1:9" x14ac:dyDescent="0.8">
      <c r="A21" s="11" t="s">
        <v>62</v>
      </c>
      <c r="B21" s="12">
        <v>45699</v>
      </c>
      <c r="C21" s="11" t="s">
        <v>30</v>
      </c>
      <c r="D21" s="11" t="s">
        <v>31</v>
      </c>
      <c r="E21" s="11" t="s">
        <v>32</v>
      </c>
      <c r="F21" s="11" t="str">
        <f>_xlfn.CONCAT(Table1_1[[#This Row],[Product]],Table1_1[[#This Row],[Category]])</f>
        <v>NotebookStationery</v>
      </c>
      <c r="G21">
        <v>5</v>
      </c>
      <c r="H21">
        <v>649</v>
      </c>
      <c r="I21">
        <v>3245</v>
      </c>
    </row>
    <row r="22" spans="1:9" x14ac:dyDescent="0.8">
      <c r="A22" s="11" t="s">
        <v>63</v>
      </c>
      <c r="B22" s="12">
        <v>45715</v>
      </c>
      <c r="C22" s="11" t="s">
        <v>30</v>
      </c>
      <c r="D22" s="11" t="s">
        <v>45</v>
      </c>
      <c r="E22" s="11" t="s">
        <v>32</v>
      </c>
      <c r="F22" s="11" t="str">
        <f>_xlfn.CONCAT(Table1_1[[#This Row],[Product]],Table1_1[[#This Row],[Category]])</f>
        <v>Pen PackStationery</v>
      </c>
      <c r="G22">
        <v>10</v>
      </c>
      <c r="H22">
        <v>710</v>
      </c>
      <c r="I22">
        <v>7100</v>
      </c>
    </row>
    <row r="23" spans="1:9" x14ac:dyDescent="0.8">
      <c r="A23" s="11" t="s">
        <v>64</v>
      </c>
      <c r="B23" s="12">
        <v>45676</v>
      </c>
      <c r="C23" s="11" t="s">
        <v>51</v>
      </c>
      <c r="D23" s="11" t="s">
        <v>35</v>
      </c>
      <c r="E23" s="11" t="s">
        <v>36</v>
      </c>
      <c r="F23" s="11" t="str">
        <f>_xlfn.CONCAT(Table1_1[[#This Row],[Product]],Table1_1[[#This Row],[Category]])</f>
        <v>Desk ChairFurniture</v>
      </c>
      <c r="G23">
        <v>7</v>
      </c>
      <c r="H23">
        <v>896</v>
      </c>
      <c r="I23">
        <v>6272</v>
      </c>
    </row>
    <row r="24" spans="1:9" x14ac:dyDescent="0.8">
      <c r="A24" s="11" t="s">
        <v>65</v>
      </c>
      <c r="B24" s="12">
        <v>45672</v>
      </c>
      <c r="C24" s="11" t="s">
        <v>51</v>
      </c>
      <c r="D24" s="11" t="s">
        <v>35</v>
      </c>
      <c r="E24" s="11" t="s">
        <v>36</v>
      </c>
      <c r="F24" s="11" t="str">
        <f>_xlfn.CONCAT(Table1_1[[#This Row],[Product]],Table1_1[[#This Row],[Category]])</f>
        <v>Desk ChairFurniture</v>
      </c>
      <c r="G24">
        <v>1</v>
      </c>
      <c r="H24">
        <v>899</v>
      </c>
      <c r="I24">
        <v>899</v>
      </c>
    </row>
    <row r="25" spans="1:9" x14ac:dyDescent="0.8">
      <c r="A25" s="11" t="s">
        <v>66</v>
      </c>
      <c r="B25" s="12">
        <v>45680</v>
      </c>
      <c r="C25" s="11" t="s">
        <v>51</v>
      </c>
      <c r="D25" s="11" t="s">
        <v>52</v>
      </c>
      <c r="E25" s="11" t="s">
        <v>40</v>
      </c>
      <c r="F25" s="11" t="str">
        <f>_xlfn.CONCAT(Table1_1[[#This Row],[Product]],Table1_1[[#This Row],[Category]])</f>
        <v>MouseElectronics</v>
      </c>
      <c r="G25">
        <v>8</v>
      </c>
      <c r="H25">
        <v>457</v>
      </c>
      <c r="I25">
        <v>3656</v>
      </c>
    </row>
    <row r="26" spans="1:9" x14ac:dyDescent="0.8">
      <c r="A26" s="11" t="s">
        <v>67</v>
      </c>
      <c r="B26" s="12">
        <v>45680</v>
      </c>
      <c r="C26" s="11" t="s">
        <v>51</v>
      </c>
      <c r="D26" s="11" t="s">
        <v>35</v>
      </c>
      <c r="E26" s="11" t="s">
        <v>36</v>
      </c>
      <c r="F26" s="11" t="str">
        <f>_xlfn.CONCAT(Table1_1[[#This Row],[Product]],Table1_1[[#This Row],[Category]])</f>
        <v>Desk ChairFurniture</v>
      </c>
      <c r="G26">
        <v>9</v>
      </c>
      <c r="H26">
        <v>587</v>
      </c>
      <c r="I26">
        <v>5283</v>
      </c>
    </row>
    <row r="27" spans="1:9" x14ac:dyDescent="0.8">
      <c r="A27" s="11" t="s">
        <v>68</v>
      </c>
      <c r="B27" s="12">
        <v>45683</v>
      </c>
      <c r="C27" s="11" t="s">
        <v>34</v>
      </c>
      <c r="D27" s="11" t="s">
        <v>35</v>
      </c>
      <c r="E27" s="11" t="s">
        <v>36</v>
      </c>
      <c r="F27" s="11" t="str">
        <f>_xlfn.CONCAT(Table1_1[[#This Row],[Product]],Table1_1[[#This Row],[Category]])</f>
        <v>Desk ChairFurniture</v>
      </c>
      <c r="G27">
        <v>4</v>
      </c>
      <c r="H27">
        <v>420</v>
      </c>
      <c r="I27">
        <v>1680</v>
      </c>
    </row>
    <row r="28" spans="1:9" x14ac:dyDescent="0.8">
      <c r="A28" s="11" t="s">
        <v>69</v>
      </c>
      <c r="B28" s="12">
        <v>45706</v>
      </c>
      <c r="C28" s="11" t="s">
        <v>47</v>
      </c>
      <c r="D28" s="11" t="s">
        <v>31</v>
      </c>
      <c r="E28" s="11" t="s">
        <v>32</v>
      </c>
      <c r="F28" s="11" t="str">
        <f>_xlfn.CONCAT(Table1_1[[#This Row],[Product]],Table1_1[[#This Row],[Category]])</f>
        <v>NotebookStationery</v>
      </c>
      <c r="G28">
        <v>4</v>
      </c>
      <c r="H28">
        <v>761</v>
      </c>
      <c r="I28">
        <v>3044</v>
      </c>
    </row>
    <row r="29" spans="1:9" x14ac:dyDescent="0.8">
      <c r="A29" s="11" t="s">
        <v>70</v>
      </c>
      <c r="B29" s="12">
        <v>45666</v>
      </c>
      <c r="C29" s="11" t="s">
        <v>47</v>
      </c>
      <c r="D29" s="11" t="s">
        <v>35</v>
      </c>
      <c r="E29" s="11" t="s">
        <v>36</v>
      </c>
      <c r="F29" s="11" t="str">
        <f>_xlfn.CONCAT(Table1_1[[#This Row],[Product]],Table1_1[[#This Row],[Category]])</f>
        <v>Desk ChairFurniture</v>
      </c>
      <c r="G29">
        <v>3</v>
      </c>
      <c r="H29">
        <v>18</v>
      </c>
      <c r="I29">
        <v>54</v>
      </c>
    </row>
    <row r="30" spans="1:9" x14ac:dyDescent="0.8">
      <c r="A30" s="11" t="s">
        <v>71</v>
      </c>
      <c r="B30" s="12">
        <v>45709</v>
      </c>
      <c r="C30" s="11" t="s">
        <v>34</v>
      </c>
      <c r="D30" s="11" t="s">
        <v>49</v>
      </c>
      <c r="E30" s="11" t="s">
        <v>40</v>
      </c>
      <c r="F30" s="11" t="str">
        <f>_xlfn.CONCAT(Table1_1[[#This Row],[Product]],Table1_1[[#This Row],[Category]])</f>
        <v>KeyboardElectronics</v>
      </c>
      <c r="G30">
        <v>3</v>
      </c>
      <c r="H30">
        <v>351</v>
      </c>
      <c r="I30">
        <v>1053</v>
      </c>
    </row>
    <row r="31" spans="1:9" x14ac:dyDescent="0.8">
      <c r="A31" s="11" t="s">
        <v>72</v>
      </c>
      <c r="B31" s="12">
        <v>45682</v>
      </c>
      <c r="C31" s="11" t="s">
        <v>47</v>
      </c>
      <c r="D31" s="11" t="s">
        <v>39</v>
      </c>
      <c r="E31" s="11" t="s">
        <v>40</v>
      </c>
      <c r="F31" s="11" t="str">
        <f>_xlfn.CONCAT(Table1_1[[#This Row],[Product]],Table1_1[[#This Row],[Category]])</f>
        <v>LaptopElectronics</v>
      </c>
      <c r="G31">
        <v>10</v>
      </c>
      <c r="H31">
        <v>131</v>
      </c>
      <c r="I31">
        <v>1310</v>
      </c>
    </row>
    <row r="32" spans="1:9" x14ac:dyDescent="0.8">
      <c r="A32" s="11" t="s">
        <v>73</v>
      </c>
      <c r="B32" s="12">
        <v>45717</v>
      </c>
      <c r="C32" s="11" t="s">
        <v>30</v>
      </c>
      <c r="D32" s="11" t="s">
        <v>45</v>
      </c>
      <c r="E32" s="11" t="s">
        <v>32</v>
      </c>
      <c r="F32" s="11" t="str">
        <f>_xlfn.CONCAT(Table1_1[[#This Row],[Product]],Table1_1[[#This Row],[Category]])</f>
        <v>Pen PackStationery</v>
      </c>
      <c r="G32">
        <v>4</v>
      </c>
      <c r="H32">
        <v>240</v>
      </c>
      <c r="I32">
        <v>960</v>
      </c>
    </row>
    <row r="33" spans="1:9" x14ac:dyDescent="0.8">
      <c r="A33" s="11" t="s">
        <v>74</v>
      </c>
      <c r="B33" s="12">
        <v>45698</v>
      </c>
      <c r="C33" s="11" t="s">
        <v>30</v>
      </c>
      <c r="D33" s="11" t="s">
        <v>49</v>
      </c>
      <c r="E33" s="11" t="s">
        <v>40</v>
      </c>
      <c r="F33" s="11" t="str">
        <f>_xlfn.CONCAT(Table1_1[[#This Row],[Product]],Table1_1[[#This Row],[Category]])</f>
        <v>KeyboardElectronics</v>
      </c>
      <c r="G33">
        <v>5</v>
      </c>
      <c r="H33">
        <v>298</v>
      </c>
      <c r="I33">
        <v>1490</v>
      </c>
    </row>
    <row r="34" spans="1:9" x14ac:dyDescent="0.8">
      <c r="A34" s="11" t="s">
        <v>75</v>
      </c>
      <c r="B34" s="12">
        <v>45717</v>
      </c>
      <c r="C34" s="11" t="s">
        <v>30</v>
      </c>
      <c r="D34" s="11" t="s">
        <v>45</v>
      </c>
      <c r="E34" s="11" t="s">
        <v>32</v>
      </c>
      <c r="F34" s="11" t="str">
        <f>_xlfn.CONCAT(Table1_1[[#This Row],[Product]],Table1_1[[#This Row],[Category]])</f>
        <v>Pen PackStationery</v>
      </c>
      <c r="G34">
        <v>5</v>
      </c>
      <c r="H34">
        <v>575</v>
      </c>
      <c r="I34">
        <v>2875</v>
      </c>
    </row>
    <row r="35" spans="1:9" x14ac:dyDescent="0.8">
      <c r="A35" s="11" t="s">
        <v>76</v>
      </c>
      <c r="B35" s="12">
        <v>45715</v>
      </c>
      <c r="C35" s="11" t="s">
        <v>47</v>
      </c>
      <c r="D35" s="11" t="s">
        <v>52</v>
      </c>
      <c r="E35" s="11" t="s">
        <v>40</v>
      </c>
      <c r="F35" s="11" t="str">
        <f>_xlfn.CONCAT(Table1_1[[#This Row],[Product]],Table1_1[[#This Row],[Category]])</f>
        <v>MouseElectronics</v>
      </c>
      <c r="G35">
        <v>10</v>
      </c>
      <c r="H35">
        <v>253</v>
      </c>
      <c r="I35">
        <v>2530</v>
      </c>
    </row>
    <row r="36" spans="1:9" x14ac:dyDescent="0.8">
      <c r="A36" s="11" t="s">
        <v>77</v>
      </c>
      <c r="B36" s="12">
        <v>45717</v>
      </c>
      <c r="C36" s="11" t="s">
        <v>51</v>
      </c>
      <c r="D36" s="11" t="s">
        <v>35</v>
      </c>
      <c r="E36" s="11" t="s">
        <v>36</v>
      </c>
      <c r="F36" s="11" t="str">
        <f>_xlfn.CONCAT(Table1_1[[#This Row],[Product]],Table1_1[[#This Row],[Category]])</f>
        <v>Desk ChairFurniture</v>
      </c>
      <c r="G36">
        <v>7</v>
      </c>
      <c r="H36">
        <v>636</v>
      </c>
      <c r="I36">
        <v>4452</v>
      </c>
    </row>
    <row r="37" spans="1:9" x14ac:dyDescent="0.8">
      <c r="A37" s="11" t="s">
        <v>78</v>
      </c>
      <c r="B37" s="12">
        <v>45686</v>
      </c>
      <c r="C37" s="11" t="s">
        <v>51</v>
      </c>
      <c r="D37" s="11" t="s">
        <v>49</v>
      </c>
      <c r="E37" s="11" t="s">
        <v>40</v>
      </c>
      <c r="F37" s="11" t="str">
        <f>_xlfn.CONCAT(Table1_1[[#This Row],[Product]],Table1_1[[#This Row],[Category]])</f>
        <v>KeyboardElectronics</v>
      </c>
      <c r="G37">
        <v>9</v>
      </c>
      <c r="H37">
        <v>127</v>
      </c>
      <c r="I37">
        <v>1143</v>
      </c>
    </row>
    <row r="38" spans="1:9" x14ac:dyDescent="0.8">
      <c r="A38" s="11" t="s">
        <v>79</v>
      </c>
      <c r="B38" s="12">
        <v>45689</v>
      </c>
      <c r="C38" s="11" t="s">
        <v>34</v>
      </c>
      <c r="D38" s="11" t="s">
        <v>49</v>
      </c>
      <c r="E38" s="11" t="s">
        <v>40</v>
      </c>
      <c r="F38" s="11" t="str">
        <f>_xlfn.CONCAT(Table1_1[[#This Row],[Product]],Table1_1[[#This Row],[Category]])</f>
        <v>KeyboardElectronics</v>
      </c>
      <c r="G38">
        <v>1</v>
      </c>
      <c r="H38">
        <v>120</v>
      </c>
      <c r="I38">
        <v>120</v>
      </c>
    </row>
    <row r="39" spans="1:9" x14ac:dyDescent="0.8">
      <c r="A39" s="11" t="s">
        <v>80</v>
      </c>
      <c r="B39" s="12">
        <v>45691</v>
      </c>
      <c r="C39" s="11" t="s">
        <v>47</v>
      </c>
      <c r="D39" s="11" t="s">
        <v>35</v>
      </c>
      <c r="E39" s="11" t="s">
        <v>36</v>
      </c>
      <c r="F39" s="11" t="str">
        <f>_xlfn.CONCAT(Table1_1[[#This Row],[Product]],Table1_1[[#This Row],[Category]])</f>
        <v>Desk ChairFurniture</v>
      </c>
      <c r="G39">
        <v>9</v>
      </c>
      <c r="H39">
        <v>241</v>
      </c>
      <c r="I39">
        <v>2169</v>
      </c>
    </row>
    <row r="40" spans="1:9" x14ac:dyDescent="0.8">
      <c r="A40" s="11" t="s">
        <v>81</v>
      </c>
      <c r="B40" s="12">
        <v>45662</v>
      </c>
      <c r="C40" s="11" t="s">
        <v>51</v>
      </c>
      <c r="D40" s="11" t="s">
        <v>45</v>
      </c>
      <c r="E40" s="11" t="s">
        <v>32</v>
      </c>
      <c r="F40" s="11" t="str">
        <f>_xlfn.CONCAT(Table1_1[[#This Row],[Product]],Table1_1[[#This Row],[Category]])</f>
        <v>Pen PackStationery</v>
      </c>
      <c r="G40">
        <v>1</v>
      </c>
      <c r="H40">
        <v>284</v>
      </c>
      <c r="I40">
        <v>284</v>
      </c>
    </row>
    <row r="41" spans="1:9" x14ac:dyDescent="0.8">
      <c r="A41" s="11" t="s">
        <v>82</v>
      </c>
      <c r="B41" s="12">
        <v>45710</v>
      </c>
      <c r="C41" s="11" t="s">
        <v>51</v>
      </c>
      <c r="D41" s="11" t="s">
        <v>31</v>
      </c>
      <c r="E41" s="11" t="s">
        <v>32</v>
      </c>
      <c r="F41" s="11" t="str">
        <f>_xlfn.CONCAT(Table1_1[[#This Row],[Product]],Table1_1[[#This Row],[Category]])</f>
        <v>NotebookStationery</v>
      </c>
      <c r="G41">
        <v>5</v>
      </c>
      <c r="H41">
        <v>694</v>
      </c>
      <c r="I41">
        <v>3470</v>
      </c>
    </row>
    <row r="42" spans="1:9" x14ac:dyDescent="0.8">
      <c r="A42" s="11" t="s">
        <v>83</v>
      </c>
      <c r="B42" s="12">
        <v>45709</v>
      </c>
      <c r="C42" s="11" t="s">
        <v>34</v>
      </c>
      <c r="D42" s="11" t="s">
        <v>54</v>
      </c>
      <c r="E42" s="11" t="s">
        <v>40</v>
      </c>
      <c r="F42" s="11" t="str">
        <f>_xlfn.CONCAT(Table1_1[[#This Row],[Product]],Table1_1[[#This Row],[Category]])</f>
        <v>MonitorElectronics</v>
      </c>
      <c r="G42">
        <v>10</v>
      </c>
      <c r="H42">
        <v>216</v>
      </c>
      <c r="I42">
        <v>2160</v>
      </c>
    </row>
    <row r="43" spans="1:9" x14ac:dyDescent="0.8">
      <c r="A43" s="11" t="s">
        <v>84</v>
      </c>
      <c r="B43" s="12">
        <v>45710</v>
      </c>
      <c r="C43" s="11" t="s">
        <v>47</v>
      </c>
      <c r="D43" s="11" t="s">
        <v>31</v>
      </c>
      <c r="E43" s="11" t="s">
        <v>32</v>
      </c>
      <c r="F43" s="11" t="str">
        <f>_xlfn.CONCAT(Table1_1[[#This Row],[Product]],Table1_1[[#This Row],[Category]])</f>
        <v>NotebookStationery</v>
      </c>
      <c r="G43">
        <v>10</v>
      </c>
      <c r="H43">
        <v>806</v>
      </c>
      <c r="I43">
        <v>8060</v>
      </c>
    </row>
    <row r="44" spans="1:9" x14ac:dyDescent="0.8">
      <c r="A44" s="11" t="s">
        <v>85</v>
      </c>
      <c r="B44" s="12">
        <v>45669</v>
      </c>
      <c r="C44" s="11" t="s">
        <v>47</v>
      </c>
      <c r="D44" s="11" t="s">
        <v>49</v>
      </c>
      <c r="E44" s="11" t="s">
        <v>40</v>
      </c>
      <c r="F44" s="11" t="str">
        <f>_xlfn.CONCAT(Table1_1[[#This Row],[Product]],Table1_1[[#This Row],[Category]])</f>
        <v>KeyboardElectronics</v>
      </c>
      <c r="G44">
        <v>3</v>
      </c>
      <c r="H44">
        <v>336</v>
      </c>
      <c r="I44">
        <v>1008</v>
      </c>
    </row>
    <row r="45" spans="1:9" x14ac:dyDescent="0.8">
      <c r="A45" s="11" t="s">
        <v>86</v>
      </c>
      <c r="B45" s="12">
        <v>45678</v>
      </c>
      <c r="C45" s="11" t="s">
        <v>51</v>
      </c>
      <c r="D45" s="11" t="s">
        <v>39</v>
      </c>
      <c r="E45" s="11" t="s">
        <v>40</v>
      </c>
      <c r="F45" s="11" t="str">
        <f>_xlfn.CONCAT(Table1_1[[#This Row],[Product]],Table1_1[[#This Row],[Category]])</f>
        <v>LaptopElectronics</v>
      </c>
      <c r="G45">
        <v>7</v>
      </c>
      <c r="H45">
        <v>269</v>
      </c>
      <c r="I45">
        <v>1883</v>
      </c>
    </row>
    <row r="46" spans="1:9" x14ac:dyDescent="0.8">
      <c r="A46" s="11" t="s">
        <v>87</v>
      </c>
      <c r="B46" s="12">
        <v>45669</v>
      </c>
      <c r="C46" s="11" t="s">
        <v>47</v>
      </c>
      <c r="D46" s="11" t="s">
        <v>49</v>
      </c>
      <c r="E46" s="11" t="s">
        <v>40</v>
      </c>
      <c r="F46" s="11" t="str">
        <f>_xlfn.CONCAT(Table1_1[[#This Row],[Product]],Table1_1[[#This Row],[Category]])</f>
        <v>KeyboardElectronics</v>
      </c>
      <c r="G46">
        <v>2</v>
      </c>
      <c r="H46">
        <v>784</v>
      </c>
      <c r="I46">
        <v>1568</v>
      </c>
    </row>
    <row r="47" spans="1:9" x14ac:dyDescent="0.8">
      <c r="A47" s="11" t="s">
        <v>88</v>
      </c>
      <c r="B47" s="12">
        <v>45668</v>
      </c>
      <c r="C47" s="11" t="s">
        <v>30</v>
      </c>
      <c r="D47" s="11" t="s">
        <v>39</v>
      </c>
      <c r="E47" s="11" t="s">
        <v>40</v>
      </c>
      <c r="F47" s="11" t="str">
        <f>_xlfn.CONCAT(Table1_1[[#This Row],[Product]],Table1_1[[#This Row],[Category]])</f>
        <v>LaptopElectronics</v>
      </c>
      <c r="G47">
        <v>5</v>
      </c>
      <c r="H47">
        <v>282</v>
      </c>
      <c r="I47">
        <v>1410</v>
      </c>
    </row>
    <row r="48" spans="1:9" x14ac:dyDescent="0.8">
      <c r="A48" s="11" t="s">
        <v>89</v>
      </c>
      <c r="B48" s="12">
        <v>45707</v>
      </c>
      <c r="C48" s="11" t="s">
        <v>30</v>
      </c>
      <c r="D48" s="11" t="s">
        <v>45</v>
      </c>
      <c r="E48" s="11" t="s">
        <v>32</v>
      </c>
      <c r="F48" s="11" t="str">
        <f>_xlfn.CONCAT(Table1_1[[#This Row],[Product]],Table1_1[[#This Row],[Category]])</f>
        <v>Pen PackStationery</v>
      </c>
      <c r="G48">
        <v>8</v>
      </c>
      <c r="H48">
        <v>125</v>
      </c>
      <c r="I48">
        <v>1000</v>
      </c>
    </row>
    <row r="49" spans="1:9" x14ac:dyDescent="0.8">
      <c r="A49" s="11" t="s">
        <v>90</v>
      </c>
      <c r="B49" s="12">
        <v>45665</v>
      </c>
      <c r="C49" s="11" t="s">
        <v>51</v>
      </c>
      <c r="D49" s="11" t="s">
        <v>39</v>
      </c>
      <c r="E49" s="11" t="s">
        <v>40</v>
      </c>
      <c r="F49" s="11" t="str">
        <f>_xlfn.CONCAT(Table1_1[[#This Row],[Product]],Table1_1[[#This Row],[Category]])</f>
        <v>LaptopElectronics</v>
      </c>
      <c r="G49">
        <v>10</v>
      </c>
      <c r="H49">
        <v>150</v>
      </c>
      <c r="I49">
        <v>1500</v>
      </c>
    </row>
    <row r="50" spans="1:9" x14ac:dyDescent="0.8">
      <c r="A50" s="11" t="s">
        <v>91</v>
      </c>
      <c r="B50" s="12">
        <v>45718</v>
      </c>
      <c r="C50" s="11" t="s">
        <v>47</v>
      </c>
      <c r="D50" s="11" t="s">
        <v>39</v>
      </c>
      <c r="E50" s="11" t="s">
        <v>40</v>
      </c>
      <c r="F50" s="11" t="str">
        <f>_xlfn.CONCAT(Table1_1[[#This Row],[Product]],Table1_1[[#This Row],[Category]])</f>
        <v>LaptopElectronics</v>
      </c>
      <c r="G50">
        <v>1</v>
      </c>
      <c r="H50">
        <v>428</v>
      </c>
      <c r="I50">
        <v>428</v>
      </c>
    </row>
    <row r="51" spans="1:9" x14ac:dyDescent="0.8">
      <c r="A51" s="11" t="s">
        <v>92</v>
      </c>
      <c r="B51" s="12">
        <v>45693</v>
      </c>
      <c r="C51" s="11" t="s">
        <v>30</v>
      </c>
      <c r="D51" s="11" t="s">
        <v>39</v>
      </c>
      <c r="E51" s="11" t="s">
        <v>40</v>
      </c>
      <c r="F51" s="11" t="str">
        <f>_xlfn.CONCAT(Table1_1[[#This Row],[Product]],Table1_1[[#This Row],[Category]])</f>
        <v>LaptopElectronics</v>
      </c>
      <c r="G51">
        <v>9</v>
      </c>
      <c r="H51">
        <v>182</v>
      </c>
      <c r="I51">
        <v>1638</v>
      </c>
    </row>
    <row r="52" spans="1:9" x14ac:dyDescent="0.8">
      <c r="A52" s="11" t="s">
        <v>93</v>
      </c>
      <c r="B52" s="12">
        <v>45694</v>
      </c>
      <c r="C52" s="11" t="s">
        <v>30</v>
      </c>
      <c r="D52" s="11" t="s">
        <v>31</v>
      </c>
      <c r="E52" s="11" t="s">
        <v>32</v>
      </c>
      <c r="F52" s="11" t="str">
        <f>_xlfn.CONCAT(Table1_1[[#This Row],[Product]],Table1_1[[#This Row],[Category]])</f>
        <v>NotebookStationery</v>
      </c>
      <c r="G52">
        <v>8</v>
      </c>
      <c r="H52">
        <v>878</v>
      </c>
      <c r="I52">
        <v>7024</v>
      </c>
    </row>
    <row r="53" spans="1:9" x14ac:dyDescent="0.8">
      <c r="A53" s="11" t="s">
        <v>94</v>
      </c>
      <c r="B53" s="12">
        <v>45704</v>
      </c>
      <c r="C53" s="11" t="s">
        <v>51</v>
      </c>
      <c r="D53" s="11" t="s">
        <v>52</v>
      </c>
      <c r="E53" s="11" t="s">
        <v>40</v>
      </c>
      <c r="F53" s="11" t="str">
        <f>_xlfn.CONCAT(Table1_1[[#This Row],[Product]],Table1_1[[#This Row],[Category]])</f>
        <v>MouseElectronics</v>
      </c>
      <c r="G53">
        <v>4</v>
      </c>
      <c r="H53">
        <v>31</v>
      </c>
      <c r="I53">
        <v>124</v>
      </c>
    </row>
    <row r="54" spans="1:9" x14ac:dyDescent="0.8">
      <c r="A54" s="11" t="s">
        <v>95</v>
      </c>
      <c r="B54" s="12">
        <v>45665</v>
      </c>
      <c r="C54" s="11" t="s">
        <v>30</v>
      </c>
      <c r="D54" s="11" t="s">
        <v>49</v>
      </c>
      <c r="E54" s="11" t="s">
        <v>40</v>
      </c>
      <c r="F54" s="11" t="str">
        <f>_xlfn.CONCAT(Table1_1[[#This Row],[Product]],Table1_1[[#This Row],[Category]])</f>
        <v>KeyboardElectronics</v>
      </c>
      <c r="G54">
        <v>9</v>
      </c>
      <c r="H54">
        <v>159</v>
      </c>
      <c r="I54">
        <v>1431</v>
      </c>
    </row>
    <row r="55" spans="1:9" x14ac:dyDescent="0.8">
      <c r="A55" s="11" t="s">
        <v>96</v>
      </c>
      <c r="B55" s="12">
        <v>45660</v>
      </c>
      <c r="C55" s="11" t="s">
        <v>47</v>
      </c>
      <c r="D55" s="11" t="s">
        <v>39</v>
      </c>
      <c r="E55" s="11" t="s">
        <v>40</v>
      </c>
      <c r="F55" s="11" t="str">
        <f>_xlfn.CONCAT(Table1_1[[#This Row],[Product]],Table1_1[[#This Row],[Category]])</f>
        <v>LaptopElectronics</v>
      </c>
      <c r="G55">
        <v>10</v>
      </c>
      <c r="H55">
        <v>259</v>
      </c>
      <c r="I55">
        <v>2590</v>
      </c>
    </row>
    <row r="56" spans="1:9" x14ac:dyDescent="0.8">
      <c r="A56" s="11" t="s">
        <v>97</v>
      </c>
      <c r="B56" s="12">
        <v>45694</v>
      </c>
      <c r="C56" s="11" t="s">
        <v>30</v>
      </c>
      <c r="D56" s="11" t="s">
        <v>45</v>
      </c>
      <c r="E56" s="11" t="s">
        <v>32</v>
      </c>
      <c r="F56" s="11" t="str">
        <f>_xlfn.CONCAT(Table1_1[[#This Row],[Product]],Table1_1[[#This Row],[Category]])</f>
        <v>Pen PackStationery</v>
      </c>
      <c r="G56">
        <v>3</v>
      </c>
      <c r="H56">
        <v>427</v>
      </c>
      <c r="I56">
        <v>1281</v>
      </c>
    </row>
    <row r="57" spans="1:9" x14ac:dyDescent="0.8">
      <c r="A57" s="11" t="s">
        <v>98</v>
      </c>
      <c r="B57" s="12">
        <v>45692</v>
      </c>
      <c r="C57" s="11" t="s">
        <v>30</v>
      </c>
      <c r="D57" s="11" t="s">
        <v>49</v>
      </c>
      <c r="E57" s="11" t="s">
        <v>40</v>
      </c>
      <c r="F57" s="11" t="str">
        <f>_xlfn.CONCAT(Table1_1[[#This Row],[Product]],Table1_1[[#This Row],[Category]])</f>
        <v>KeyboardElectronics</v>
      </c>
      <c r="G57">
        <v>8</v>
      </c>
      <c r="H57">
        <v>105</v>
      </c>
      <c r="I57">
        <v>840</v>
      </c>
    </row>
    <row r="58" spans="1:9" x14ac:dyDescent="0.8">
      <c r="A58" s="11" t="s">
        <v>99</v>
      </c>
      <c r="B58" s="12">
        <v>45667</v>
      </c>
      <c r="C58" s="11" t="s">
        <v>47</v>
      </c>
      <c r="D58" s="11" t="s">
        <v>39</v>
      </c>
      <c r="E58" s="11" t="s">
        <v>40</v>
      </c>
      <c r="F58" s="11" t="str">
        <f>_xlfn.CONCAT(Table1_1[[#This Row],[Product]],Table1_1[[#This Row],[Category]])</f>
        <v>LaptopElectronics</v>
      </c>
      <c r="G58">
        <v>8</v>
      </c>
      <c r="H58">
        <v>276</v>
      </c>
      <c r="I58">
        <v>2208</v>
      </c>
    </row>
    <row r="59" spans="1:9" x14ac:dyDescent="0.8">
      <c r="A59" s="11" t="s">
        <v>100</v>
      </c>
      <c r="B59" s="12">
        <v>45715</v>
      </c>
      <c r="C59" s="11" t="s">
        <v>51</v>
      </c>
      <c r="D59" s="11" t="s">
        <v>45</v>
      </c>
      <c r="E59" s="11" t="s">
        <v>32</v>
      </c>
      <c r="F59" s="11" t="str">
        <f>_xlfn.CONCAT(Table1_1[[#This Row],[Product]],Table1_1[[#This Row],[Category]])</f>
        <v>Pen PackStationery</v>
      </c>
      <c r="G59">
        <v>1</v>
      </c>
      <c r="H59">
        <v>76</v>
      </c>
      <c r="I59">
        <v>76</v>
      </c>
    </row>
    <row r="60" spans="1:9" x14ac:dyDescent="0.8">
      <c r="A60" s="11" t="s">
        <v>101</v>
      </c>
      <c r="B60" s="12">
        <v>45690</v>
      </c>
      <c r="C60" s="11" t="s">
        <v>30</v>
      </c>
      <c r="D60" s="11" t="s">
        <v>49</v>
      </c>
      <c r="E60" s="11" t="s">
        <v>40</v>
      </c>
      <c r="F60" s="11" t="str">
        <f>_xlfn.CONCAT(Table1_1[[#This Row],[Product]],Table1_1[[#This Row],[Category]])</f>
        <v>KeyboardElectronics</v>
      </c>
      <c r="G60">
        <v>9</v>
      </c>
      <c r="H60">
        <v>49</v>
      </c>
      <c r="I60">
        <v>441</v>
      </c>
    </row>
    <row r="61" spans="1:9" x14ac:dyDescent="0.8">
      <c r="A61" s="11" t="s">
        <v>102</v>
      </c>
      <c r="B61" s="12">
        <v>45688</v>
      </c>
      <c r="C61" s="11" t="s">
        <v>47</v>
      </c>
      <c r="D61" s="11" t="s">
        <v>45</v>
      </c>
      <c r="E61" s="11" t="s">
        <v>32</v>
      </c>
      <c r="F61" s="11" t="str">
        <f>_xlfn.CONCAT(Table1_1[[#This Row],[Product]],Table1_1[[#This Row],[Category]])</f>
        <v>Pen PackStationery</v>
      </c>
      <c r="G61">
        <v>2</v>
      </c>
      <c r="H61">
        <v>823</v>
      </c>
      <c r="I61">
        <v>1646</v>
      </c>
    </row>
    <row r="62" spans="1:9" x14ac:dyDescent="0.8">
      <c r="A62" s="11" t="s">
        <v>103</v>
      </c>
      <c r="B62" s="12">
        <v>45705</v>
      </c>
      <c r="C62" s="11" t="s">
        <v>34</v>
      </c>
      <c r="D62" s="11" t="s">
        <v>54</v>
      </c>
      <c r="E62" s="11" t="s">
        <v>40</v>
      </c>
      <c r="F62" s="11" t="str">
        <f>_xlfn.CONCAT(Table1_1[[#This Row],[Product]],Table1_1[[#This Row],[Category]])</f>
        <v>MonitorElectronics</v>
      </c>
      <c r="G62">
        <v>5</v>
      </c>
      <c r="H62">
        <v>149</v>
      </c>
      <c r="I62">
        <v>745</v>
      </c>
    </row>
    <row r="63" spans="1:9" x14ac:dyDescent="0.8">
      <c r="A63" s="11" t="s">
        <v>104</v>
      </c>
      <c r="B63" s="12">
        <v>45663</v>
      </c>
      <c r="C63" s="11" t="s">
        <v>34</v>
      </c>
      <c r="D63" s="11" t="s">
        <v>35</v>
      </c>
      <c r="E63" s="11" t="s">
        <v>36</v>
      </c>
      <c r="F63" s="11" t="str">
        <f>_xlfn.CONCAT(Table1_1[[#This Row],[Product]],Table1_1[[#This Row],[Category]])</f>
        <v>Desk ChairFurniture</v>
      </c>
      <c r="G63">
        <v>7</v>
      </c>
      <c r="H63">
        <v>790</v>
      </c>
      <c r="I63">
        <v>5530</v>
      </c>
    </row>
    <row r="64" spans="1:9" x14ac:dyDescent="0.8">
      <c r="A64" s="11" t="s">
        <v>105</v>
      </c>
      <c r="B64" s="12">
        <v>45704</v>
      </c>
      <c r="C64" s="11" t="s">
        <v>30</v>
      </c>
      <c r="D64" s="11" t="s">
        <v>49</v>
      </c>
      <c r="E64" s="11" t="s">
        <v>40</v>
      </c>
      <c r="F64" s="11" t="str">
        <f>_xlfn.CONCAT(Table1_1[[#This Row],[Product]],Table1_1[[#This Row],[Category]])</f>
        <v>KeyboardElectronics</v>
      </c>
      <c r="G64">
        <v>8</v>
      </c>
      <c r="H64">
        <v>840</v>
      </c>
      <c r="I64">
        <v>6720</v>
      </c>
    </row>
    <row r="65" spans="1:9" x14ac:dyDescent="0.8">
      <c r="A65" s="11" t="s">
        <v>106</v>
      </c>
      <c r="B65" s="12">
        <v>45692</v>
      </c>
      <c r="C65" s="11" t="s">
        <v>34</v>
      </c>
      <c r="D65" s="11" t="s">
        <v>35</v>
      </c>
      <c r="E65" s="11" t="s">
        <v>36</v>
      </c>
      <c r="F65" s="11" t="str">
        <f>_xlfn.CONCAT(Table1_1[[#This Row],[Product]],Table1_1[[#This Row],[Category]])</f>
        <v>Desk ChairFurniture</v>
      </c>
      <c r="G65">
        <v>1</v>
      </c>
      <c r="H65">
        <v>382</v>
      </c>
      <c r="I65">
        <v>382</v>
      </c>
    </row>
    <row r="66" spans="1:9" x14ac:dyDescent="0.8">
      <c r="A66" s="11" t="s">
        <v>107</v>
      </c>
      <c r="B66" s="12">
        <v>45713</v>
      </c>
      <c r="C66" s="11" t="s">
        <v>30</v>
      </c>
      <c r="D66" s="11" t="s">
        <v>35</v>
      </c>
      <c r="E66" s="11" t="s">
        <v>36</v>
      </c>
      <c r="F66" s="11" t="str">
        <f>_xlfn.CONCAT(Table1_1[[#This Row],[Product]],Table1_1[[#This Row],[Category]])</f>
        <v>Desk ChairFurniture</v>
      </c>
      <c r="G66">
        <v>2</v>
      </c>
      <c r="H66">
        <v>460</v>
      </c>
      <c r="I66">
        <v>920</v>
      </c>
    </row>
    <row r="67" spans="1:9" x14ac:dyDescent="0.8">
      <c r="A67" s="11" t="s">
        <v>108</v>
      </c>
      <c r="B67" s="12">
        <v>45685</v>
      </c>
      <c r="C67" s="11" t="s">
        <v>47</v>
      </c>
      <c r="D67" s="11" t="s">
        <v>31</v>
      </c>
      <c r="E67" s="11" t="s">
        <v>32</v>
      </c>
      <c r="F67" s="11" t="str">
        <f>_xlfn.CONCAT(Table1_1[[#This Row],[Product]],Table1_1[[#This Row],[Category]])</f>
        <v>NotebookStationery</v>
      </c>
      <c r="G67">
        <v>6</v>
      </c>
      <c r="H67">
        <v>38</v>
      </c>
      <c r="I67">
        <v>228</v>
      </c>
    </row>
    <row r="68" spans="1:9" x14ac:dyDescent="0.8">
      <c r="A68" s="11" t="s">
        <v>109</v>
      </c>
      <c r="B68" s="12">
        <v>45701</v>
      </c>
      <c r="C68" s="11" t="s">
        <v>47</v>
      </c>
      <c r="D68" s="11" t="s">
        <v>49</v>
      </c>
      <c r="E68" s="11" t="s">
        <v>40</v>
      </c>
      <c r="F68" s="11" t="str">
        <f>_xlfn.CONCAT(Table1_1[[#This Row],[Product]],Table1_1[[#This Row],[Category]])</f>
        <v>KeyboardElectronics</v>
      </c>
      <c r="G68">
        <v>3</v>
      </c>
      <c r="H68">
        <v>762</v>
      </c>
      <c r="I68">
        <v>2286</v>
      </c>
    </row>
    <row r="69" spans="1:9" x14ac:dyDescent="0.8">
      <c r="A69" s="11" t="s">
        <v>110</v>
      </c>
      <c r="B69" s="12">
        <v>45681</v>
      </c>
      <c r="C69" s="11" t="s">
        <v>47</v>
      </c>
      <c r="D69" s="11" t="s">
        <v>39</v>
      </c>
      <c r="E69" s="11" t="s">
        <v>40</v>
      </c>
      <c r="F69" s="11" t="str">
        <f>_xlfn.CONCAT(Table1_1[[#This Row],[Product]],Table1_1[[#This Row],[Category]])</f>
        <v>LaptopElectronics</v>
      </c>
      <c r="G69">
        <v>2</v>
      </c>
      <c r="H69">
        <v>96</v>
      </c>
      <c r="I69">
        <v>192</v>
      </c>
    </row>
    <row r="70" spans="1:9" x14ac:dyDescent="0.8">
      <c r="A70" s="11" t="s">
        <v>111</v>
      </c>
      <c r="B70" s="12">
        <v>45677</v>
      </c>
      <c r="C70" s="11" t="s">
        <v>47</v>
      </c>
      <c r="D70" s="11" t="s">
        <v>54</v>
      </c>
      <c r="E70" s="11" t="s">
        <v>40</v>
      </c>
      <c r="F70" s="11" t="str">
        <f>_xlfn.CONCAT(Table1_1[[#This Row],[Product]],Table1_1[[#This Row],[Category]])</f>
        <v>MonitorElectronics</v>
      </c>
      <c r="G70">
        <v>1</v>
      </c>
      <c r="H70">
        <v>685</v>
      </c>
      <c r="I70">
        <v>685</v>
      </c>
    </row>
    <row r="71" spans="1:9" x14ac:dyDescent="0.8">
      <c r="A71" s="11" t="s">
        <v>112</v>
      </c>
      <c r="B71" s="12">
        <v>45714</v>
      </c>
      <c r="C71" s="11" t="s">
        <v>47</v>
      </c>
      <c r="D71" s="11" t="s">
        <v>54</v>
      </c>
      <c r="E71" s="11" t="s">
        <v>40</v>
      </c>
      <c r="F71" s="11" t="str">
        <f>_xlfn.CONCAT(Table1_1[[#This Row],[Product]],Table1_1[[#This Row],[Category]])</f>
        <v>MonitorElectronics</v>
      </c>
      <c r="G71">
        <v>1</v>
      </c>
      <c r="H71">
        <v>44</v>
      </c>
      <c r="I71">
        <v>44</v>
      </c>
    </row>
    <row r="72" spans="1:9" x14ac:dyDescent="0.8">
      <c r="A72" s="11" t="s">
        <v>113</v>
      </c>
      <c r="B72" s="12">
        <v>45670</v>
      </c>
      <c r="C72" s="11" t="s">
        <v>34</v>
      </c>
      <c r="D72" s="11" t="s">
        <v>35</v>
      </c>
      <c r="E72" s="11" t="s">
        <v>36</v>
      </c>
      <c r="F72" s="11" t="str">
        <f>_xlfn.CONCAT(Table1_1[[#This Row],[Product]],Table1_1[[#This Row],[Category]])</f>
        <v>Desk ChairFurniture</v>
      </c>
      <c r="G72">
        <v>2</v>
      </c>
      <c r="H72">
        <v>295</v>
      </c>
      <c r="I72">
        <v>590</v>
      </c>
    </row>
    <row r="73" spans="1:9" x14ac:dyDescent="0.8">
      <c r="A73" s="11" t="s">
        <v>114</v>
      </c>
      <c r="B73" s="12">
        <v>45704</v>
      </c>
      <c r="C73" s="11" t="s">
        <v>51</v>
      </c>
      <c r="D73" s="11" t="s">
        <v>45</v>
      </c>
      <c r="E73" s="11" t="s">
        <v>32</v>
      </c>
      <c r="F73" s="11" t="str">
        <f>_xlfn.CONCAT(Table1_1[[#This Row],[Product]],Table1_1[[#This Row],[Category]])</f>
        <v>Pen PackStationery</v>
      </c>
      <c r="G73">
        <v>8</v>
      </c>
      <c r="H73">
        <v>292</v>
      </c>
      <c r="I73">
        <v>2336</v>
      </c>
    </row>
    <row r="74" spans="1:9" x14ac:dyDescent="0.8">
      <c r="A74" s="11" t="s">
        <v>115</v>
      </c>
      <c r="B74" s="12">
        <v>45702</v>
      </c>
      <c r="C74" s="11" t="s">
        <v>34</v>
      </c>
      <c r="D74" s="11" t="s">
        <v>39</v>
      </c>
      <c r="E74" s="11" t="s">
        <v>40</v>
      </c>
      <c r="F74" s="11" t="str">
        <f>_xlfn.CONCAT(Table1_1[[#This Row],[Product]],Table1_1[[#This Row],[Category]])</f>
        <v>LaptopElectronics</v>
      </c>
      <c r="G74">
        <v>3</v>
      </c>
      <c r="H74">
        <v>70</v>
      </c>
      <c r="I74">
        <v>210</v>
      </c>
    </row>
    <row r="75" spans="1:9" x14ac:dyDescent="0.8">
      <c r="A75" s="11" t="s">
        <v>116</v>
      </c>
      <c r="B75" s="12">
        <v>45661</v>
      </c>
      <c r="C75" s="11" t="s">
        <v>47</v>
      </c>
      <c r="D75" s="11" t="s">
        <v>31</v>
      </c>
      <c r="E75" s="11" t="s">
        <v>32</v>
      </c>
      <c r="F75" s="11" t="str">
        <f>_xlfn.CONCAT(Table1_1[[#This Row],[Product]],Table1_1[[#This Row],[Category]])</f>
        <v>NotebookStationery</v>
      </c>
      <c r="G75">
        <v>5</v>
      </c>
      <c r="H75">
        <v>656</v>
      </c>
      <c r="I75">
        <v>3280</v>
      </c>
    </row>
    <row r="76" spans="1:9" x14ac:dyDescent="0.8">
      <c r="A76" s="11" t="s">
        <v>117</v>
      </c>
      <c r="B76" s="12">
        <v>45659</v>
      </c>
      <c r="C76" s="11" t="s">
        <v>47</v>
      </c>
      <c r="D76" s="11" t="s">
        <v>52</v>
      </c>
      <c r="E76" s="11" t="s">
        <v>40</v>
      </c>
      <c r="F76" s="11" t="str">
        <f>_xlfn.CONCAT(Table1_1[[#This Row],[Product]],Table1_1[[#This Row],[Category]])</f>
        <v>MouseElectronics</v>
      </c>
      <c r="G76">
        <v>3</v>
      </c>
      <c r="H76">
        <v>452</v>
      </c>
      <c r="I76">
        <v>1356</v>
      </c>
    </row>
    <row r="77" spans="1:9" x14ac:dyDescent="0.8">
      <c r="A77" s="11" t="s">
        <v>118</v>
      </c>
      <c r="B77" s="12">
        <v>45671</v>
      </c>
      <c r="C77" s="11" t="s">
        <v>34</v>
      </c>
      <c r="D77" s="11" t="s">
        <v>39</v>
      </c>
      <c r="E77" s="11" t="s">
        <v>40</v>
      </c>
      <c r="F77" s="11" t="str">
        <f>_xlfn.CONCAT(Table1_1[[#This Row],[Product]],Table1_1[[#This Row],[Category]])</f>
        <v>LaptopElectronics</v>
      </c>
      <c r="G77">
        <v>5</v>
      </c>
      <c r="H77">
        <v>391</v>
      </c>
      <c r="I77">
        <v>1955</v>
      </c>
    </row>
    <row r="78" spans="1:9" x14ac:dyDescent="0.8">
      <c r="A78" s="11" t="s">
        <v>119</v>
      </c>
      <c r="B78" s="12">
        <v>45704</v>
      </c>
      <c r="C78" s="11" t="s">
        <v>34</v>
      </c>
      <c r="D78" s="11" t="s">
        <v>39</v>
      </c>
      <c r="E78" s="11" t="s">
        <v>40</v>
      </c>
      <c r="F78" s="11" t="str">
        <f>_xlfn.CONCAT(Table1_1[[#This Row],[Product]],Table1_1[[#This Row],[Category]])</f>
        <v>LaptopElectronics</v>
      </c>
      <c r="G78">
        <v>2</v>
      </c>
      <c r="H78">
        <v>290</v>
      </c>
      <c r="I78">
        <v>580</v>
      </c>
    </row>
    <row r="79" spans="1:9" x14ac:dyDescent="0.8">
      <c r="A79" s="11" t="s">
        <v>120</v>
      </c>
      <c r="B79" s="12">
        <v>45667</v>
      </c>
      <c r="C79" s="11" t="s">
        <v>30</v>
      </c>
      <c r="D79" s="11" t="s">
        <v>31</v>
      </c>
      <c r="E79" s="11" t="s">
        <v>32</v>
      </c>
      <c r="F79" s="11" t="str">
        <f>_xlfn.CONCAT(Table1_1[[#This Row],[Product]],Table1_1[[#This Row],[Category]])</f>
        <v>NotebookStationery</v>
      </c>
      <c r="G79">
        <v>6</v>
      </c>
      <c r="H79">
        <v>855</v>
      </c>
      <c r="I79">
        <v>5130</v>
      </c>
    </row>
    <row r="80" spans="1:9" x14ac:dyDescent="0.8">
      <c r="A80" s="11" t="s">
        <v>121</v>
      </c>
      <c r="B80" s="12">
        <v>45658</v>
      </c>
      <c r="C80" s="11" t="s">
        <v>30</v>
      </c>
      <c r="D80" s="11" t="s">
        <v>49</v>
      </c>
      <c r="E80" s="11" t="s">
        <v>40</v>
      </c>
      <c r="F80" s="11" t="str">
        <f>_xlfn.CONCAT(Table1_1[[#This Row],[Product]],Table1_1[[#This Row],[Category]])</f>
        <v>KeyboardElectronics</v>
      </c>
      <c r="G80">
        <v>4</v>
      </c>
      <c r="H80">
        <v>295</v>
      </c>
      <c r="I80">
        <v>1180</v>
      </c>
    </row>
    <row r="81" spans="1:9" x14ac:dyDescent="0.8">
      <c r="A81" s="11" t="s">
        <v>122</v>
      </c>
      <c r="B81" s="12">
        <v>45715</v>
      </c>
      <c r="C81" s="11" t="s">
        <v>51</v>
      </c>
      <c r="D81" s="11" t="s">
        <v>52</v>
      </c>
      <c r="E81" s="11" t="s">
        <v>40</v>
      </c>
      <c r="F81" s="11" t="str">
        <f>_xlfn.CONCAT(Table1_1[[#This Row],[Product]],Table1_1[[#This Row],[Category]])</f>
        <v>MouseElectronics</v>
      </c>
      <c r="G81">
        <v>4</v>
      </c>
      <c r="H81">
        <v>824</v>
      </c>
      <c r="I81">
        <v>3296</v>
      </c>
    </row>
    <row r="82" spans="1:9" x14ac:dyDescent="0.8">
      <c r="A82" s="11" t="s">
        <v>123</v>
      </c>
      <c r="B82" s="12">
        <v>45683</v>
      </c>
      <c r="C82" s="11" t="s">
        <v>47</v>
      </c>
      <c r="D82" s="11" t="s">
        <v>39</v>
      </c>
      <c r="E82" s="11" t="s">
        <v>40</v>
      </c>
      <c r="F82" s="11" t="str">
        <f>_xlfn.CONCAT(Table1_1[[#This Row],[Product]],Table1_1[[#This Row],[Category]])</f>
        <v>LaptopElectronics</v>
      </c>
      <c r="G82">
        <v>1</v>
      </c>
      <c r="H82">
        <v>715</v>
      </c>
      <c r="I82">
        <v>715</v>
      </c>
    </row>
    <row r="83" spans="1:9" x14ac:dyDescent="0.8">
      <c r="A83" s="11" t="s">
        <v>124</v>
      </c>
      <c r="B83" s="12">
        <v>45680</v>
      </c>
      <c r="C83" s="11" t="s">
        <v>30</v>
      </c>
      <c r="D83" s="11" t="s">
        <v>49</v>
      </c>
      <c r="E83" s="11" t="s">
        <v>40</v>
      </c>
      <c r="F83" s="11" t="str">
        <f>_xlfn.CONCAT(Table1_1[[#This Row],[Product]],Table1_1[[#This Row],[Category]])</f>
        <v>KeyboardElectronics</v>
      </c>
      <c r="G83">
        <v>5</v>
      </c>
      <c r="H83">
        <v>380</v>
      </c>
      <c r="I83">
        <v>1900</v>
      </c>
    </row>
    <row r="84" spans="1:9" x14ac:dyDescent="0.8">
      <c r="A84" s="11" t="s">
        <v>125</v>
      </c>
      <c r="B84" s="12">
        <v>45673</v>
      </c>
      <c r="C84" s="11" t="s">
        <v>34</v>
      </c>
      <c r="D84" s="11" t="s">
        <v>54</v>
      </c>
      <c r="E84" s="11" t="s">
        <v>40</v>
      </c>
      <c r="F84" s="11" t="str">
        <f>_xlfn.CONCAT(Table1_1[[#This Row],[Product]],Table1_1[[#This Row],[Category]])</f>
        <v>MonitorElectronics</v>
      </c>
      <c r="G84">
        <v>9</v>
      </c>
      <c r="H84">
        <v>209</v>
      </c>
      <c r="I84">
        <v>1881</v>
      </c>
    </row>
    <row r="85" spans="1:9" x14ac:dyDescent="0.8">
      <c r="A85" s="11" t="s">
        <v>126</v>
      </c>
      <c r="B85" s="12">
        <v>45680</v>
      </c>
      <c r="C85" s="11" t="s">
        <v>30</v>
      </c>
      <c r="D85" s="11" t="s">
        <v>39</v>
      </c>
      <c r="E85" s="11" t="s">
        <v>40</v>
      </c>
      <c r="F85" s="11" t="str">
        <f>_xlfn.CONCAT(Table1_1[[#This Row],[Product]],Table1_1[[#This Row],[Category]])</f>
        <v>LaptopElectronics</v>
      </c>
      <c r="G85">
        <v>10</v>
      </c>
      <c r="H85">
        <v>724</v>
      </c>
      <c r="I85">
        <v>7240</v>
      </c>
    </row>
    <row r="86" spans="1:9" x14ac:dyDescent="0.8">
      <c r="A86" s="11" t="s">
        <v>127</v>
      </c>
      <c r="B86" s="12">
        <v>45669</v>
      </c>
      <c r="C86" s="11" t="s">
        <v>34</v>
      </c>
      <c r="D86" s="11" t="s">
        <v>52</v>
      </c>
      <c r="E86" s="11" t="s">
        <v>40</v>
      </c>
      <c r="F86" s="11" t="str">
        <f>_xlfn.CONCAT(Table1_1[[#This Row],[Product]],Table1_1[[#This Row],[Category]])</f>
        <v>MouseElectronics</v>
      </c>
      <c r="G86">
        <v>6</v>
      </c>
      <c r="H86">
        <v>780</v>
      </c>
      <c r="I86">
        <v>4680</v>
      </c>
    </row>
    <row r="87" spans="1:9" x14ac:dyDescent="0.8">
      <c r="A87" s="11" t="s">
        <v>128</v>
      </c>
      <c r="B87" s="12">
        <v>45713</v>
      </c>
      <c r="C87" s="11" t="s">
        <v>34</v>
      </c>
      <c r="D87" s="11" t="s">
        <v>31</v>
      </c>
      <c r="E87" s="11" t="s">
        <v>32</v>
      </c>
      <c r="F87" s="11" t="str">
        <f>_xlfn.CONCAT(Table1_1[[#This Row],[Product]],Table1_1[[#This Row],[Category]])</f>
        <v>NotebookStationery</v>
      </c>
      <c r="G87">
        <v>6</v>
      </c>
      <c r="H87">
        <v>239</v>
      </c>
      <c r="I87">
        <v>1434</v>
      </c>
    </row>
    <row r="88" spans="1:9" x14ac:dyDescent="0.8">
      <c r="A88" s="11" t="s">
        <v>129</v>
      </c>
      <c r="B88" s="12">
        <v>45682</v>
      </c>
      <c r="C88" s="11" t="s">
        <v>30</v>
      </c>
      <c r="D88" s="11" t="s">
        <v>49</v>
      </c>
      <c r="E88" s="11" t="s">
        <v>40</v>
      </c>
      <c r="F88" s="11" t="str">
        <f>_xlfn.CONCAT(Table1_1[[#This Row],[Product]],Table1_1[[#This Row],[Category]])</f>
        <v>KeyboardElectronics</v>
      </c>
      <c r="G88">
        <v>9</v>
      </c>
      <c r="H88">
        <v>297</v>
      </c>
      <c r="I88">
        <v>2673</v>
      </c>
    </row>
    <row r="89" spans="1:9" x14ac:dyDescent="0.8">
      <c r="A89" s="11" t="s">
        <v>130</v>
      </c>
      <c r="B89" s="12">
        <v>45665</v>
      </c>
      <c r="C89" s="11" t="s">
        <v>34</v>
      </c>
      <c r="D89" s="11" t="s">
        <v>54</v>
      </c>
      <c r="E89" s="11" t="s">
        <v>40</v>
      </c>
      <c r="F89" s="11" t="str">
        <f>_xlfn.CONCAT(Table1_1[[#This Row],[Product]],Table1_1[[#This Row],[Category]])</f>
        <v>MonitorElectronics</v>
      </c>
      <c r="G89">
        <v>7</v>
      </c>
      <c r="H89">
        <v>473</v>
      </c>
      <c r="I89">
        <v>3311</v>
      </c>
    </row>
    <row r="90" spans="1:9" x14ac:dyDescent="0.8">
      <c r="A90" s="11" t="s">
        <v>131</v>
      </c>
      <c r="B90" s="12">
        <v>45702</v>
      </c>
      <c r="C90" s="11" t="s">
        <v>47</v>
      </c>
      <c r="D90" s="11" t="s">
        <v>52</v>
      </c>
      <c r="E90" s="11" t="s">
        <v>40</v>
      </c>
      <c r="F90" s="11" t="str">
        <f>_xlfn.CONCAT(Table1_1[[#This Row],[Product]],Table1_1[[#This Row],[Category]])</f>
        <v>MouseElectronics</v>
      </c>
      <c r="G90">
        <v>8</v>
      </c>
      <c r="H90">
        <v>899</v>
      </c>
      <c r="I90">
        <v>7192</v>
      </c>
    </row>
    <row r="91" spans="1:9" x14ac:dyDescent="0.8">
      <c r="A91" s="11" t="s">
        <v>132</v>
      </c>
      <c r="B91" s="12">
        <v>45661</v>
      </c>
      <c r="C91" s="11" t="s">
        <v>51</v>
      </c>
      <c r="D91" s="11" t="s">
        <v>52</v>
      </c>
      <c r="E91" s="11" t="s">
        <v>40</v>
      </c>
      <c r="F91" s="11" t="str">
        <f>_xlfn.CONCAT(Table1_1[[#This Row],[Product]],Table1_1[[#This Row],[Category]])</f>
        <v>MouseElectronics</v>
      </c>
      <c r="G91">
        <v>7</v>
      </c>
      <c r="H91">
        <v>71</v>
      </c>
      <c r="I91">
        <v>497</v>
      </c>
    </row>
    <row r="92" spans="1:9" x14ac:dyDescent="0.8">
      <c r="A92" s="11" t="s">
        <v>133</v>
      </c>
      <c r="B92" s="12">
        <v>45714</v>
      </c>
      <c r="C92" s="11" t="s">
        <v>51</v>
      </c>
      <c r="D92" s="11" t="s">
        <v>54</v>
      </c>
      <c r="E92" s="11" t="s">
        <v>40</v>
      </c>
      <c r="F92" s="11" t="str">
        <f>_xlfn.CONCAT(Table1_1[[#This Row],[Product]],Table1_1[[#This Row],[Category]])</f>
        <v>MonitorElectronics</v>
      </c>
      <c r="G92">
        <v>1</v>
      </c>
      <c r="H92">
        <v>684</v>
      </c>
      <c r="I92">
        <v>684</v>
      </c>
    </row>
    <row r="93" spans="1:9" x14ac:dyDescent="0.8">
      <c r="A93" s="11" t="s">
        <v>134</v>
      </c>
      <c r="B93" s="12">
        <v>45658</v>
      </c>
      <c r="C93" s="11" t="s">
        <v>34</v>
      </c>
      <c r="D93" s="11" t="s">
        <v>35</v>
      </c>
      <c r="E93" s="11" t="s">
        <v>36</v>
      </c>
      <c r="F93" s="11" t="str">
        <f>_xlfn.CONCAT(Table1_1[[#This Row],[Product]],Table1_1[[#This Row],[Category]])</f>
        <v>Desk ChairFurniture</v>
      </c>
      <c r="G93">
        <v>6</v>
      </c>
      <c r="H93">
        <v>284</v>
      </c>
      <c r="I93">
        <v>1704</v>
      </c>
    </row>
    <row r="94" spans="1:9" x14ac:dyDescent="0.8">
      <c r="A94" s="11" t="s">
        <v>135</v>
      </c>
      <c r="B94" s="12">
        <v>45693</v>
      </c>
      <c r="C94" s="11" t="s">
        <v>47</v>
      </c>
      <c r="D94" s="11" t="s">
        <v>54</v>
      </c>
      <c r="E94" s="11" t="s">
        <v>40</v>
      </c>
      <c r="F94" s="11" t="str">
        <f>_xlfn.CONCAT(Table1_1[[#This Row],[Product]],Table1_1[[#This Row],[Category]])</f>
        <v>MonitorElectronics</v>
      </c>
      <c r="G94">
        <v>2</v>
      </c>
      <c r="H94">
        <v>814</v>
      </c>
      <c r="I94">
        <v>1628</v>
      </c>
    </row>
    <row r="95" spans="1:9" x14ac:dyDescent="0.8">
      <c r="A95" s="11" t="s">
        <v>136</v>
      </c>
      <c r="B95" s="12">
        <v>45714</v>
      </c>
      <c r="C95" s="11" t="s">
        <v>51</v>
      </c>
      <c r="D95" s="11" t="s">
        <v>52</v>
      </c>
      <c r="E95" s="11" t="s">
        <v>40</v>
      </c>
      <c r="F95" s="11" t="str">
        <f>_xlfn.CONCAT(Table1_1[[#This Row],[Product]],Table1_1[[#This Row],[Category]])</f>
        <v>MouseElectronics</v>
      </c>
      <c r="G95">
        <v>3</v>
      </c>
      <c r="H95">
        <v>750</v>
      </c>
      <c r="I95">
        <v>2250</v>
      </c>
    </row>
    <row r="96" spans="1:9" x14ac:dyDescent="0.8">
      <c r="A96" s="11" t="s">
        <v>137</v>
      </c>
      <c r="B96" s="12">
        <v>45706</v>
      </c>
      <c r="C96" s="11" t="s">
        <v>34</v>
      </c>
      <c r="D96" s="11" t="s">
        <v>35</v>
      </c>
      <c r="E96" s="11" t="s">
        <v>36</v>
      </c>
      <c r="F96" s="11" t="str">
        <f>_xlfn.CONCAT(Table1_1[[#This Row],[Product]],Table1_1[[#This Row],[Category]])</f>
        <v>Desk ChairFurniture</v>
      </c>
      <c r="G96">
        <v>6</v>
      </c>
      <c r="H96">
        <v>810</v>
      </c>
      <c r="I96">
        <v>4860</v>
      </c>
    </row>
    <row r="97" spans="1:9" x14ac:dyDescent="0.8">
      <c r="A97" s="11" t="s">
        <v>138</v>
      </c>
      <c r="B97" s="12">
        <v>45690</v>
      </c>
      <c r="C97" s="11" t="s">
        <v>34</v>
      </c>
      <c r="D97" s="11" t="s">
        <v>35</v>
      </c>
      <c r="E97" s="11" t="s">
        <v>36</v>
      </c>
      <c r="F97" s="11" t="str">
        <f>_xlfn.CONCAT(Table1_1[[#This Row],[Product]],Table1_1[[#This Row],[Category]])</f>
        <v>Desk ChairFurniture</v>
      </c>
      <c r="G97">
        <v>1</v>
      </c>
      <c r="H97">
        <v>505</v>
      </c>
      <c r="I97">
        <v>505</v>
      </c>
    </row>
    <row r="98" spans="1:9" x14ac:dyDescent="0.8">
      <c r="A98" s="11" t="s">
        <v>139</v>
      </c>
      <c r="B98" s="12">
        <v>45676</v>
      </c>
      <c r="C98" s="11" t="s">
        <v>51</v>
      </c>
      <c r="D98" s="11" t="s">
        <v>49</v>
      </c>
      <c r="E98" s="11" t="s">
        <v>40</v>
      </c>
      <c r="F98" s="11" t="str">
        <f>_xlfn.CONCAT(Table1_1[[#This Row],[Product]],Table1_1[[#This Row],[Category]])</f>
        <v>KeyboardElectronics</v>
      </c>
      <c r="G98">
        <v>4</v>
      </c>
      <c r="H98">
        <v>257</v>
      </c>
      <c r="I98">
        <v>1028</v>
      </c>
    </row>
    <row r="99" spans="1:9" x14ac:dyDescent="0.8">
      <c r="A99" s="11" t="s">
        <v>140</v>
      </c>
      <c r="B99" s="12">
        <v>45690</v>
      </c>
      <c r="C99" s="11" t="s">
        <v>47</v>
      </c>
      <c r="D99" s="11" t="s">
        <v>39</v>
      </c>
      <c r="E99" s="11" t="s">
        <v>40</v>
      </c>
      <c r="F99" s="11" t="str">
        <f>_xlfn.CONCAT(Table1_1[[#This Row],[Product]],Table1_1[[#This Row],[Category]])</f>
        <v>LaptopElectronics</v>
      </c>
      <c r="G99">
        <v>6</v>
      </c>
      <c r="H99">
        <v>300</v>
      </c>
      <c r="I99">
        <v>1800</v>
      </c>
    </row>
    <row r="100" spans="1:9" x14ac:dyDescent="0.8">
      <c r="A100" s="11" t="s">
        <v>141</v>
      </c>
      <c r="B100" s="12">
        <v>45673</v>
      </c>
      <c r="C100" s="11" t="s">
        <v>47</v>
      </c>
      <c r="D100" s="11" t="s">
        <v>39</v>
      </c>
      <c r="E100" s="11" t="s">
        <v>40</v>
      </c>
      <c r="F100" s="11" t="str">
        <f>_xlfn.CONCAT(Table1_1[[#This Row],[Product]],Table1_1[[#This Row],[Category]])</f>
        <v>LaptopElectronics</v>
      </c>
      <c r="G100">
        <v>6</v>
      </c>
      <c r="H100">
        <v>65</v>
      </c>
      <c r="I100">
        <v>390</v>
      </c>
    </row>
    <row r="101" spans="1:9" x14ac:dyDescent="0.8">
      <c r="A101" s="11" t="s">
        <v>142</v>
      </c>
      <c r="B101" s="12">
        <v>45712</v>
      </c>
      <c r="C101" s="11" t="s">
        <v>47</v>
      </c>
      <c r="D101" s="11" t="s">
        <v>45</v>
      </c>
      <c r="E101" s="11" t="s">
        <v>32</v>
      </c>
      <c r="F101" s="11" t="str">
        <f>_xlfn.CONCAT(Table1_1[[#This Row],[Product]],Table1_1[[#This Row],[Category]])</f>
        <v>Pen PackStationery</v>
      </c>
      <c r="G101">
        <v>5</v>
      </c>
      <c r="H101">
        <v>340</v>
      </c>
      <c r="I101">
        <v>1700</v>
      </c>
    </row>
    <row r="102" spans="1:9" x14ac:dyDescent="0.8">
      <c r="A102" s="11" t="s">
        <v>143</v>
      </c>
      <c r="B102" s="12">
        <v>45702</v>
      </c>
      <c r="C102" s="11" t="s">
        <v>30</v>
      </c>
      <c r="D102" s="11" t="s">
        <v>52</v>
      </c>
      <c r="E102" s="11" t="s">
        <v>40</v>
      </c>
      <c r="F102" s="11" t="str">
        <f>_xlfn.CONCAT(Table1_1[[#This Row],[Product]],Table1_1[[#This Row],[Category]])</f>
        <v>MouseElectronics</v>
      </c>
      <c r="G102">
        <v>6</v>
      </c>
      <c r="H102">
        <v>326</v>
      </c>
      <c r="I102">
        <v>1956</v>
      </c>
    </row>
    <row r="103" spans="1:9" x14ac:dyDescent="0.8">
      <c r="A103" s="11" t="s">
        <v>144</v>
      </c>
      <c r="B103" s="12">
        <v>45679</v>
      </c>
      <c r="C103" s="11" t="s">
        <v>47</v>
      </c>
      <c r="D103" s="11" t="s">
        <v>54</v>
      </c>
      <c r="E103" s="11" t="s">
        <v>40</v>
      </c>
      <c r="F103" s="11" t="str">
        <f>_xlfn.CONCAT(Table1_1[[#This Row],[Product]],Table1_1[[#This Row],[Category]])</f>
        <v>MonitorElectronics</v>
      </c>
      <c r="G103">
        <v>7</v>
      </c>
      <c r="H103">
        <v>146</v>
      </c>
      <c r="I103">
        <v>1022</v>
      </c>
    </row>
    <row r="104" spans="1:9" x14ac:dyDescent="0.8">
      <c r="A104" s="11" t="s">
        <v>145</v>
      </c>
      <c r="B104" s="12">
        <v>45709</v>
      </c>
      <c r="C104" s="11" t="s">
        <v>30</v>
      </c>
      <c r="D104" s="11" t="s">
        <v>49</v>
      </c>
      <c r="E104" s="11" t="s">
        <v>40</v>
      </c>
      <c r="F104" s="11" t="str">
        <f>_xlfn.CONCAT(Table1_1[[#This Row],[Product]],Table1_1[[#This Row],[Category]])</f>
        <v>KeyboardElectronics</v>
      </c>
      <c r="G104">
        <v>7</v>
      </c>
      <c r="H104">
        <v>251</v>
      </c>
      <c r="I104">
        <v>1757</v>
      </c>
    </row>
    <row r="105" spans="1:9" x14ac:dyDescent="0.8">
      <c r="A105" s="11" t="s">
        <v>146</v>
      </c>
      <c r="B105" s="12">
        <v>45717</v>
      </c>
      <c r="C105" s="11" t="s">
        <v>47</v>
      </c>
      <c r="D105" s="11" t="s">
        <v>31</v>
      </c>
      <c r="E105" s="11" t="s">
        <v>32</v>
      </c>
      <c r="F105" s="11" t="str">
        <f>_xlfn.CONCAT(Table1_1[[#This Row],[Product]],Table1_1[[#This Row],[Category]])</f>
        <v>NotebookStationery</v>
      </c>
      <c r="G105">
        <v>5</v>
      </c>
      <c r="H105">
        <v>303</v>
      </c>
      <c r="I105">
        <v>1515</v>
      </c>
    </row>
    <row r="106" spans="1:9" x14ac:dyDescent="0.8">
      <c r="A106" s="11" t="s">
        <v>147</v>
      </c>
      <c r="B106" s="12">
        <v>45715</v>
      </c>
      <c r="C106" s="11" t="s">
        <v>34</v>
      </c>
      <c r="D106" s="11" t="s">
        <v>35</v>
      </c>
      <c r="E106" s="11" t="s">
        <v>36</v>
      </c>
      <c r="F106" s="11" t="str">
        <f>_xlfn.CONCAT(Table1_1[[#This Row],[Product]],Table1_1[[#This Row],[Category]])</f>
        <v>Desk ChairFurniture</v>
      </c>
      <c r="G106">
        <v>7</v>
      </c>
      <c r="H106">
        <v>396</v>
      </c>
      <c r="I106">
        <v>2772</v>
      </c>
    </row>
    <row r="107" spans="1:9" x14ac:dyDescent="0.8">
      <c r="A107" s="11" t="s">
        <v>148</v>
      </c>
      <c r="B107" s="12">
        <v>45715</v>
      </c>
      <c r="C107" s="11" t="s">
        <v>34</v>
      </c>
      <c r="D107" s="11" t="s">
        <v>45</v>
      </c>
      <c r="E107" s="11" t="s">
        <v>32</v>
      </c>
      <c r="F107" s="11" t="str">
        <f>_xlfn.CONCAT(Table1_1[[#This Row],[Product]],Table1_1[[#This Row],[Category]])</f>
        <v>Pen PackStationery</v>
      </c>
      <c r="G107">
        <v>10</v>
      </c>
      <c r="H107">
        <v>46</v>
      </c>
      <c r="I107">
        <v>460</v>
      </c>
    </row>
    <row r="108" spans="1:9" x14ac:dyDescent="0.8">
      <c r="A108" s="11" t="s">
        <v>149</v>
      </c>
      <c r="B108" s="12">
        <v>45691</v>
      </c>
      <c r="C108" s="11" t="s">
        <v>47</v>
      </c>
      <c r="D108" s="11" t="s">
        <v>52</v>
      </c>
      <c r="E108" s="11" t="s">
        <v>40</v>
      </c>
      <c r="F108" s="11" t="str">
        <f>_xlfn.CONCAT(Table1_1[[#This Row],[Product]],Table1_1[[#This Row],[Category]])</f>
        <v>MouseElectronics</v>
      </c>
      <c r="G108">
        <v>8</v>
      </c>
      <c r="H108">
        <v>873</v>
      </c>
      <c r="I108">
        <v>6984</v>
      </c>
    </row>
    <row r="109" spans="1:9" x14ac:dyDescent="0.8">
      <c r="A109" s="11" t="s">
        <v>150</v>
      </c>
      <c r="B109" s="12">
        <v>45679</v>
      </c>
      <c r="C109" s="11" t="s">
        <v>34</v>
      </c>
      <c r="D109" s="11" t="s">
        <v>35</v>
      </c>
      <c r="E109" s="11" t="s">
        <v>36</v>
      </c>
      <c r="F109" s="11" t="str">
        <f>_xlfn.CONCAT(Table1_1[[#This Row],[Product]],Table1_1[[#This Row],[Category]])</f>
        <v>Desk ChairFurniture</v>
      </c>
      <c r="G109">
        <v>8</v>
      </c>
      <c r="H109">
        <v>619</v>
      </c>
      <c r="I109">
        <v>4952</v>
      </c>
    </row>
    <row r="110" spans="1:9" x14ac:dyDescent="0.8">
      <c r="A110" s="11" t="s">
        <v>151</v>
      </c>
      <c r="B110" s="12">
        <v>45661</v>
      </c>
      <c r="C110" s="11" t="s">
        <v>30</v>
      </c>
      <c r="D110" s="11" t="s">
        <v>35</v>
      </c>
      <c r="E110" s="11" t="s">
        <v>36</v>
      </c>
      <c r="F110" s="11" t="str">
        <f>_xlfn.CONCAT(Table1_1[[#This Row],[Product]],Table1_1[[#This Row],[Category]])</f>
        <v>Desk ChairFurniture</v>
      </c>
      <c r="G110">
        <v>6</v>
      </c>
      <c r="H110">
        <v>437</v>
      </c>
      <c r="I110">
        <v>2622</v>
      </c>
    </row>
    <row r="111" spans="1:9" x14ac:dyDescent="0.8">
      <c r="A111" s="11" t="s">
        <v>152</v>
      </c>
      <c r="B111" s="12">
        <v>45689</v>
      </c>
      <c r="C111" s="11" t="s">
        <v>51</v>
      </c>
      <c r="D111" s="11" t="s">
        <v>52</v>
      </c>
      <c r="E111" s="11" t="s">
        <v>40</v>
      </c>
      <c r="F111" s="11" t="str">
        <f>_xlfn.CONCAT(Table1_1[[#This Row],[Product]],Table1_1[[#This Row],[Category]])</f>
        <v>MouseElectronics</v>
      </c>
      <c r="G111">
        <v>9</v>
      </c>
      <c r="H111">
        <v>809</v>
      </c>
      <c r="I111">
        <v>7281</v>
      </c>
    </row>
    <row r="112" spans="1:9" x14ac:dyDescent="0.8">
      <c r="A112" s="11" t="s">
        <v>153</v>
      </c>
      <c r="B112" s="12">
        <v>45674</v>
      </c>
      <c r="C112" s="11" t="s">
        <v>51</v>
      </c>
      <c r="D112" s="11" t="s">
        <v>31</v>
      </c>
      <c r="E112" s="11" t="s">
        <v>32</v>
      </c>
      <c r="F112" s="11" t="str">
        <f>_xlfn.CONCAT(Table1_1[[#This Row],[Product]],Table1_1[[#This Row],[Category]])</f>
        <v>NotebookStationery</v>
      </c>
      <c r="G112">
        <v>2</v>
      </c>
      <c r="H112">
        <v>551</v>
      </c>
      <c r="I112">
        <v>1102</v>
      </c>
    </row>
    <row r="113" spans="1:9" x14ac:dyDescent="0.8">
      <c r="A113" s="11" t="s">
        <v>154</v>
      </c>
      <c r="B113" s="12">
        <v>45661</v>
      </c>
      <c r="C113" s="11" t="s">
        <v>51</v>
      </c>
      <c r="D113" s="11" t="s">
        <v>52</v>
      </c>
      <c r="E113" s="11" t="s">
        <v>40</v>
      </c>
      <c r="F113" s="11" t="str">
        <f>_xlfn.CONCAT(Table1_1[[#This Row],[Product]],Table1_1[[#This Row],[Category]])</f>
        <v>MouseElectronics</v>
      </c>
      <c r="G113">
        <v>6</v>
      </c>
      <c r="H113">
        <v>362</v>
      </c>
      <c r="I113">
        <v>2172</v>
      </c>
    </row>
    <row r="114" spans="1:9" x14ac:dyDescent="0.8">
      <c r="A114" s="11" t="s">
        <v>155</v>
      </c>
      <c r="B114" s="12">
        <v>45677</v>
      </c>
      <c r="C114" s="11" t="s">
        <v>47</v>
      </c>
      <c r="D114" s="11" t="s">
        <v>39</v>
      </c>
      <c r="E114" s="11" t="s">
        <v>40</v>
      </c>
      <c r="F114" s="11" t="str">
        <f>_xlfn.CONCAT(Table1_1[[#This Row],[Product]],Table1_1[[#This Row],[Category]])</f>
        <v>LaptopElectronics</v>
      </c>
      <c r="G114">
        <v>5</v>
      </c>
      <c r="H114">
        <v>328</v>
      </c>
      <c r="I114">
        <v>1640</v>
      </c>
    </row>
    <row r="115" spans="1:9" x14ac:dyDescent="0.8">
      <c r="A115" s="11" t="s">
        <v>156</v>
      </c>
      <c r="B115" s="12">
        <v>45708</v>
      </c>
      <c r="C115" s="11" t="s">
        <v>51</v>
      </c>
      <c r="D115" s="11" t="s">
        <v>54</v>
      </c>
      <c r="E115" s="11" t="s">
        <v>40</v>
      </c>
      <c r="F115" s="11" t="str">
        <f>_xlfn.CONCAT(Table1_1[[#This Row],[Product]],Table1_1[[#This Row],[Category]])</f>
        <v>MonitorElectronics</v>
      </c>
      <c r="G115">
        <v>6</v>
      </c>
      <c r="H115">
        <v>389</v>
      </c>
      <c r="I115">
        <v>2334</v>
      </c>
    </row>
    <row r="116" spans="1:9" x14ac:dyDescent="0.8">
      <c r="A116" s="11" t="s">
        <v>157</v>
      </c>
      <c r="B116" s="12">
        <v>45675</v>
      </c>
      <c r="C116" s="11" t="s">
        <v>30</v>
      </c>
      <c r="D116" s="11" t="s">
        <v>39</v>
      </c>
      <c r="E116" s="11" t="s">
        <v>40</v>
      </c>
      <c r="F116" s="11" t="str">
        <f>_xlfn.CONCAT(Table1_1[[#This Row],[Product]],Table1_1[[#This Row],[Category]])</f>
        <v>LaptopElectronics</v>
      </c>
      <c r="G116">
        <v>7</v>
      </c>
      <c r="H116">
        <v>54</v>
      </c>
      <c r="I116">
        <v>378</v>
      </c>
    </row>
    <row r="117" spans="1:9" x14ac:dyDescent="0.8">
      <c r="A117" s="11" t="s">
        <v>158</v>
      </c>
      <c r="B117" s="12">
        <v>45701</v>
      </c>
      <c r="C117" s="11" t="s">
        <v>30</v>
      </c>
      <c r="D117" s="11" t="s">
        <v>45</v>
      </c>
      <c r="E117" s="11" t="s">
        <v>32</v>
      </c>
      <c r="F117" s="11" t="str">
        <f>_xlfn.CONCAT(Table1_1[[#This Row],[Product]],Table1_1[[#This Row],[Category]])</f>
        <v>Pen PackStationery</v>
      </c>
      <c r="G117">
        <v>3</v>
      </c>
      <c r="H117">
        <v>345</v>
      </c>
      <c r="I117">
        <v>1035</v>
      </c>
    </row>
    <row r="118" spans="1:9" x14ac:dyDescent="0.8">
      <c r="A118" s="11" t="s">
        <v>159</v>
      </c>
      <c r="B118" s="12">
        <v>45704</v>
      </c>
      <c r="C118" s="11" t="s">
        <v>34</v>
      </c>
      <c r="D118" s="11" t="s">
        <v>54</v>
      </c>
      <c r="E118" s="11" t="s">
        <v>40</v>
      </c>
      <c r="F118" s="11" t="str">
        <f>_xlfn.CONCAT(Table1_1[[#This Row],[Product]],Table1_1[[#This Row],[Category]])</f>
        <v>MonitorElectronics</v>
      </c>
      <c r="G118">
        <v>9</v>
      </c>
      <c r="H118">
        <v>863</v>
      </c>
      <c r="I118">
        <v>7767</v>
      </c>
    </row>
    <row r="119" spans="1:9" x14ac:dyDescent="0.8">
      <c r="A119" s="11" t="s">
        <v>160</v>
      </c>
      <c r="B119" s="12">
        <v>45711</v>
      </c>
      <c r="C119" s="11" t="s">
        <v>51</v>
      </c>
      <c r="D119" s="11" t="s">
        <v>35</v>
      </c>
      <c r="E119" s="11" t="s">
        <v>36</v>
      </c>
      <c r="F119" s="11" t="str">
        <f>_xlfn.CONCAT(Table1_1[[#This Row],[Product]],Table1_1[[#This Row],[Category]])</f>
        <v>Desk ChairFurniture</v>
      </c>
      <c r="G119">
        <v>6</v>
      </c>
      <c r="H119">
        <v>311</v>
      </c>
      <c r="I119">
        <v>1866</v>
      </c>
    </row>
    <row r="120" spans="1:9" x14ac:dyDescent="0.8">
      <c r="A120" s="11" t="s">
        <v>161</v>
      </c>
      <c r="B120" s="12">
        <v>45672</v>
      </c>
      <c r="C120" s="11" t="s">
        <v>47</v>
      </c>
      <c r="D120" s="11" t="s">
        <v>35</v>
      </c>
      <c r="E120" s="11" t="s">
        <v>36</v>
      </c>
      <c r="F120" s="11" t="str">
        <f>_xlfn.CONCAT(Table1_1[[#This Row],[Product]],Table1_1[[#This Row],[Category]])</f>
        <v>Desk ChairFurniture</v>
      </c>
      <c r="G120">
        <v>9</v>
      </c>
      <c r="H120">
        <v>417</v>
      </c>
      <c r="I120">
        <v>3753</v>
      </c>
    </row>
    <row r="121" spans="1:9" x14ac:dyDescent="0.8">
      <c r="A121" s="11" t="s">
        <v>162</v>
      </c>
      <c r="B121" s="12">
        <v>45699</v>
      </c>
      <c r="C121" s="11" t="s">
        <v>51</v>
      </c>
      <c r="D121" s="11" t="s">
        <v>31</v>
      </c>
      <c r="E121" s="11" t="s">
        <v>32</v>
      </c>
      <c r="F121" s="11" t="str">
        <f>_xlfn.CONCAT(Table1_1[[#This Row],[Product]],Table1_1[[#This Row],[Category]])</f>
        <v>NotebookStationery</v>
      </c>
      <c r="G121">
        <v>1</v>
      </c>
      <c r="H121">
        <v>747</v>
      </c>
      <c r="I121">
        <v>747</v>
      </c>
    </row>
    <row r="122" spans="1:9" x14ac:dyDescent="0.8">
      <c r="A122" s="11" t="s">
        <v>163</v>
      </c>
      <c r="B122" s="12">
        <v>45680</v>
      </c>
      <c r="C122" s="11" t="s">
        <v>47</v>
      </c>
      <c r="D122" s="11" t="s">
        <v>49</v>
      </c>
      <c r="E122" s="11" t="s">
        <v>40</v>
      </c>
      <c r="F122" s="11" t="str">
        <f>_xlfn.CONCAT(Table1_1[[#This Row],[Product]],Table1_1[[#This Row],[Category]])</f>
        <v>KeyboardElectronics</v>
      </c>
      <c r="G122">
        <v>10</v>
      </c>
      <c r="H122">
        <v>713</v>
      </c>
      <c r="I122">
        <v>7130</v>
      </c>
    </row>
    <row r="123" spans="1:9" x14ac:dyDescent="0.8">
      <c r="A123" s="11" t="s">
        <v>164</v>
      </c>
      <c r="B123" s="12">
        <v>45702</v>
      </c>
      <c r="C123" s="11" t="s">
        <v>30</v>
      </c>
      <c r="D123" s="11" t="s">
        <v>54</v>
      </c>
      <c r="E123" s="11" t="s">
        <v>40</v>
      </c>
      <c r="F123" s="11" t="str">
        <f>_xlfn.CONCAT(Table1_1[[#This Row],[Product]],Table1_1[[#This Row],[Category]])</f>
        <v>MonitorElectronics</v>
      </c>
      <c r="G123">
        <v>7</v>
      </c>
      <c r="H123">
        <v>280</v>
      </c>
      <c r="I123">
        <v>1960</v>
      </c>
    </row>
    <row r="124" spans="1:9" x14ac:dyDescent="0.8">
      <c r="A124" s="11" t="s">
        <v>165</v>
      </c>
      <c r="B124" s="12">
        <v>45704</v>
      </c>
      <c r="C124" s="11" t="s">
        <v>47</v>
      </c>
      <c r="D124" s="11" t="s">
        <v>35</v>
      </c>
      <c r="E124" s="11" t="s">
        <v>36</v>
      </c>
      <c r="F124" s="11" t="str">
        <f>_xlfn.CONCAT(Table1_1[[#This Row],[Product]],Table1_1[[#This Row],[Category]])</f>
        <v>Desk ChairFurniture</v>
      </c>
      <c r="G124">
        <v>2</v>
      </c>
      <c r="H124">
        <v>241</v>
      </c>
      <c r="I124">
        <v>482</v>
      </c>
    </row>
    <row r="125" spans="1:9" x14ac:dyDescent="0.8">
      <c r="A125" s="11" t="s">
        <v>166</v>
      </c>
      <c r="B125" s="12">
        <v>45675</v>
      </c>
      <c r="C125" s="11" t="s">
        <v>47</v>
      </c>
      <c r="D125" s="11" t="s">
        <v>54</v>
      </c>
      <c r="E125" s="11" t="s">
        <v>40</v>
      </c>
      <c r="F125" s="11" t="str">
        <f>_xlfn.CONCAT(Table1_1[[#This Row],[Product]],Table1_1[[#This Row],[Category]])</f>
        <v>MonitorElectronics</v>
      </c>
      <c r="G125">
        <v>10</v>
      </c>
      <c r="H125">
        <v>40</v>
      </c>
      <c r="I125">
        <v>400</v>
      </c>
    </row>
    <row r="126" spans="1:9" x14ac:dyDescent="0.8">
      <c r="A126" s="11" t="s">
        <v>167</v>
      </c>
      <c r="B126" s="12">
        <v>45687</v>
      </c>
      <c r="C126" s="11" t="s">
        <v>34</v>
      </c>
      <c r="D126" s="11" t="s">
        <v>45</v>
      </c>
      <c r="E126" s="11" t="s">
        <v>32</v>
      </c>
      <c r="F126" s="11" t="str">
        <f>_xlfn.CONCAT(Table1_1[[#This Row],[Product]],Table1_1[[#This Row],[Category]])</f>
        <v>Pen PackStationery</v>
      </c>
      <c r="G126">
        <v>9</v>
      </c>
      <c r="H126">
        <v>99</v>
      </c>
      <c r="I126">
        <v>891</v>
      </c>
    </row>
    <row r="127" spans="1:9" x14ac:dyDescent="0.8">
      <c r="A127" s="11" t="s">
        <v>168</v>
      </c>
      <c r="B127" s="12">
        <v>45662</v>
      </c>
      <c r="C127" s="11" t="s">
        <v>51</v>
      </c>
      <c r="D127" s="11" t="s">
        <v>35</v>
      </c>
      <c r="E127" s="11" t="s">
        <v>36</v>
      </c>
      <c r="F127" s="11" t="str">
        <f>_xlfn.CONCAT(Table1_1[[#This Row],[Product]],Table1_1[[#This Row],[Category]])</f>
        <v>Desk ChairFurniture</v>
      </c>
      <c r="G127">
        <v>9</v>
      </c>
      <c r="H127">
        <v>307</v>
      </c>
      <c r="I127">
        <v>2763</v>
      </c>
    </row>
    <row r="128" spans="1:9" x14ac:dyDescent="0.8">
      <c r="A128" s="11" t="s">
        <v>169</v>
      </c>
      <c r="B128" s="12">
        <v>45715</v>
      </c>
      <c r="C128" s="11" t="s">
        <v>51</v>
      </c>
      <c r="D128" s="11" t="s">
        <v>52</v>
      </c>
      <c r="E128" s="11" t="s">
        <v>40</v>
      </c>
      <c r="F128" s="11" t="str">
        <f>_xlfn.CONCAT(Table1_1[[#This Row],[Product]],Table1_1[[#This Row],[Category]])</f>
        <v>MouseElectronics</v>
      </c>
      <c r="G128">
        <v>3</v>
      </c>
      <c r="H128">
        <v>682</v>
      </c>
      <c r="I128">
        <v>2046</v>
      </c>
    </row>
    <row r="129" spans="1:9" x14ac:dyDescent="0.8">
      <c r="A129" s="11" t="s">
        <v>170</v>
      </c>
      <c r="B129" s="12">
        <v>45688</v>
      </c>
      <c r="C129" s="11" t="s">
        <v>47</v>
      </c>
      <c r="D129" s="11" t="s">
        <v>52</v>
      </c>
      <c r="E129" s="11" t="s">
        <v>40</v>
      </c>
      <c r="F129" s="11" t="str">
        <f>_xlfn.CONCAT(Table1_1[[#This Row],[Product]],Table1_1[[#This Row],[Category]])</f>
        <v>MouseElectronics</v>
      </c>
      <c r="G129">
        <v>3</v>
      </c>
      <c r="H129">
        <v>544</v>
      </c>
      <c r="I129">
        <v>1632</v>
      </c>
    </row>
    <row r="130" spans="1:9" x14ac:dyDescent="0.8">
      <c r="A130" s="11" t="s">
        <v>171</v>
      </c>
      <c r="B130" s="12">
        <v>45687</v>
      </c>
      <c r="C130" s="11" t="s">
        <v>30</v>
      </c>
      <c r="D130" s="11" t="s">
        <v>52</v>
      </c>
      <c r="E130" s="11" t="s">
        <v>40</v>
      </c>
      <c r="F130" s="11" t="str">
        <f>_xlfn.CONCAT(Table1_1[[#This Row],[Product]],Table1_1[[#This Row],[Category]])</f>
        <v>MouseElectronics</v>
      </c>
      <c r="G130">
        <v>5</v>
      </c>
      <c r="H130">
        <v>141</v>
      </c>
      <c r="I130">
        <v>705</v>
      </c>
    </row>
    <row r="131" spans="1:9" x14ac:dyDescent="0.8">
      <c r="A131" s="11" t="s">
        <v>172</v>
      </c>
      <c r="B131" s="12">
        <v>45687</v>
      </c>
      <c r="C131" s="11" t="s">
        <v>34</v>
      </c>
      <c r="D131" s="11" t="s">
        <v>45</v>
      </c>
      <c r="E131" s="11" t="s">
        <v>32</v>
      </c>
      <c r="F131" s="11" t="str">
        <f>_xlfn.CONCAT(Table1_1[[#This Row],[Product]],Table1_1[[#This Row],[Category]])</f>
        <v>Pen PackStationery</v>
      </c>
      <c r="G131">
        <v>2</v>
      </c>
      <c r="H131">
        <v>724</v>
      </c>
      <c r="I131">
        <v>1448</v>
      </c>
    </row>
    <row r="132" spans="1:9" x14ac:dyDescent="0.8">
      <c r="A132" s="11" t="s">
        <v>173</v>
      </c>
      <c r="B132" s="12">
        <v>45713</v>
      </c>
      <c r="C132" s="11" t="s">
        <v>51</v>
      </c>
      <c r="D132" s="11" t="s">
        <v>49</v>
      </c>
      <c r="E132" s="11" t="s">
        <v>40</v>
      </c>
      <c r="F132" s="11" t="str">
        <f>_xlfn.CONCAT(Table1_1[[#This Row],[Product]],Table1_1[[#This Row],[Category]])</f>
        <v>KeyboardElectronics</v>
      </c>
      <c r="G132">
        <v>2</v>
      </c>
      <c r="H132">
        <v>793</v>
      </c>
      <c r="I132">
        <v>1586</v>
      </c>
    </row>
    <row r="133" spans="1:9" x14ac:dyDescent="0.8">
      <c r="A133" s="11" t="s">
        <v>174</v>
      </c>
      <c r="B133" s="12">
        <v>45688</v>
      </c>
      <c r="C133" s="11" t="s">
        <v>34</v>
      </c>
      <c r="D133" s="11" t="s">
        <v>54</v>
      </c>
      <c r="E133" s="11" t="s">
        <v>40</v>
      </c>
      <c r="F133" s="11" t="str">
        <f>_xlfn.CONCAT(Table1_1[[#This Row],[Product]],Table1_1[[#This Row],[Category]])</f>
        <v>MonitorElectronics</v>
      </c>
      <c r="G133">
        <v>2</v>
      </c>
      <c r="H133">
        <v>554</v>
      </c>
      <c r="I133">
        <v>1108</v>
      </c>
    </row>
    <row r="134" spans="1:9" x14ac:dyDescent="0.8">
      <c r="A134" s="11" t="s">
        <v>175</v>
      </c>
      <c r="B134" s="12">
        <v>45661</v>
      </c>
      <c r="C134" s="11" t="s">
        <v>51</v>
      </c>
      <c r="D134" s="11" t="s">
        <v>54</v>
      </c>
      <c r="E134" s="11" t="s">
        <v>40</v>
      </c>
      <c r="F134" s="11" t="str">
        <f>_xlfn.CONCAT(Table1_1[[#This Row],[Product]],Table1_1[[#This Row],[Category]])</f>
        <v>MonitorElectronics</v>
      </c>
      <c r="G134">
        <v>4</v>
      </c>
      <c r="H134">
        <v>743</v>
      </c>
      <c r="I134">
        <v>2972</v>
      </c>
    </row>
    <row r="135" spans="1:9" x14ac:dyDescent="0.8">
      <c r="A135" s="11" t="s">
        <v>176</v>
      </c>
      <c r="B135" s="12">
        <v>45703</v>
      </c>
      <c r="C135" s="11" t="s">
        <v>34</v>
      </c>
      <c r="D135" s="11" t="s">
        <v>39</v>
      </c>
      <c r="E135" s="11" t="s">
        <v>40</v>
      </c>
      <c r="F135" s="11" t="str">
        <f>_xlfn.CONCAT(Table1_1[[#This Row],[Product]],Table1_1[[#This Row],[Category]])</f>
        <v>LaptopElectronics</v>
      </c>
      <c r="G135">
        <v>3</v>
      </c>
      <c r="H135">
        <v>193</v>
      </c>
      <c r="I135">
        <v>579</v>
      </c>
    </row>
    <row r="136" spans="1:9" x14ac:dyDescent="0.8">
      <c r="A136" s="11" t="s">
        <v>177</v>
      </c>
      <c r="B136" s="12">
        <v>45707</v>
      </c>
      <c r="C136" s="11" t="s">
        <v>30</v>
      </c>
      <c r="D136" s="11" t="s">
        <v>54</v>
      </c>
      <c r="E136" s="11" t="s">
        <v>40</v>
      </c>
      <c r="F136" s="11" t="str">
        <f>_xlfn.CONCAT(Table1_1[[#This Row],[Product]],Table1_1[[#This Row],[Category]])</f>
        <v>MonitorElectronics</v>
      </c>
      <c r="G136">
        <v>1</v>
      </c>
      <c r="H136">
        <v>851</v>
      </c>
      <c r="I136">
        <v>851</v>
      </c>
    </row>
    <row r="137" spans="1:9" x14ac:dyDescent="0.8">
      <c r="A137" s="11" t="s">
        <v>178</v>
      </c>
      <c r="B137" s="12">
        <v>45693</v>
      </c>
      <c r="C137" s="11" t="s">
        <v>30</v>
      </c>
      <c r="D137" s="11" t="s">
        <v>39</v>
      </c>
      <c r="E137" s="11" t="s">
        <v>40</v>
      </c>
      <c r="F137" s="11" t="str">
        <f>_xlfn.CONCAT(Table1_1[[#This Row],[Product]],Table1_1[[#This Row],[Category]])</f>
        <v>LaptopElectronics</v>
      </c>
      <c r="G137">
        <v>5</v>
      </c>
      <c r="H137">
        <v>448</v>
      </c>
      <c r="I137">
        <v>2240</v>
      </c>
    </row>
    <row r="138" spans="1:9" x14ac:dyDescent="0.8">
      <c r="A138" s="11" t="s">
        <v>179</v>
      </c>
      <c r="B138" s="12">
        <v>45665</v>
      </c>
      <c r="C138" s="11" t="s">
        <v>47</v>
      </c>
      <c r="D138" s="11" t="s">
        <v>39</v>
      </c>
      <c r="E138" s="11" t="s">
        <v>40</v>
      </c>
      <c r="F138" s="11" t="str">
        <f>_xlfn.CONCAT(Table1_1[[#This Row],[Product]],Table1_1[[#This Row],[Category]])</f>
        <v>LaptopElectronics</v>
      </c>
      <c r="G138">
        <v>9</v>
      </c>
      <c r="H138">
        <v>231</v>
      </c>
      <c r="I138">
        <v>2079</v>
      </c>
    </row>
    <row r="139" spans="1:9" x14ac:dyDescent="0.8">
      <c r="A139" s="11" t="s">
        <v>180</v>
      </c>
      <c r="B139" s="12">
        <v>45661</v>
      </c>
      <c r="C139" s="11" t="s">
        <v>47</v>
      </c>
      <c r="D139" s="11" t="s">
        <v>39</v>
      </c>
      <c r="E139" s="11" t="s">
        <v>40</v>
      </c>
      <c r="F139" s="11" t="str">
        <f>_xlfn.CONCAT(Table1_1[[#This Row],[Product]],Table1_1[[#This Row],[Category]])</f>
        <v>LaptopElectronics</v>
      </c>
      <c r="G139">
        <v>8</v>
      </c>
      <c r="H139">
        <v>191</v>
      </c>
      <c r="I139">
        <v>1528</v>
      </c>
    </row>
    <row r="140" spans="1:9" x14ac:dyDescent="0.8">
      <c r="A140" s="11" t="s">
        <v>181</v>
      </c>
      <c r="B140" s="12">
        <v>45665</v>
      </c>
      <c r="C140" s="11" t="s">
        <v>51</v>
      </c>
      <c r="D140" s="11" t="s">
        <v>39</v>
      </c>
      <c r="E140" s="11" t="s">
        <v>40</v>
      </c>
      <c r="F140" s="11" t="str">
        <f>_xlfn.CONCAT(Table1_1[[#This Row],[Product]],Table1_1[[#This Row],[Category]])</f>
        <v>LaptopElectronics</v>
      </c>
      <c r="G140">
        <v>5</v>
      </c>
      <c r="H140">
        <v>479</v>
      </c>
      <c r="I140">
        <v>2395</v>
      </c>
    </row>
    <row r="141" spans="1:9" x14ac:dyDescent="0.8">
      <c r="A141" s="11" t="s">
        <v>182</v>
      </c>
      <c r="B141" s="12">
        <v>45701</v>
      </c>
      <c r="C141" s="11" t="s">
        <v>47</v>
      </c>
      <c r="D141" s="11" t="s">
        <v>31</v>
      </c>
      <c r="E141" s="11" t="s">
        <v>32</v>
      </c>
      <c r="F141" s="11" t="str">
        <f>_xlfn.CONCAT(Table1_1[[#This Row],[Product]],Table1_1[[#This Row],[Category]])</f>
        <v>NotebookStationery</v>
      </c>
      <c r="G141">
        <v>9</v>
      </c>
      <c r="H141">
        <v>308</v>
      </c>
      <c r="I141">
        <v>2772</v>
      </c>
    </row>
    <row r="142" spans="1:9" x14ac:dyDescent="0.8">
      <c r="A142" s="11" t="s">
        <v>183</v>
      </c>
      <c r="B142" s="12">
        <v>45664</v>
      </c>
      <c r="C142" s="11" t="s">
        <v>30</v>
      </c>
      <c r="D142" s="11" t="s">
        <v>31</v>
      </c>
      <c r="E142" s="11" t="s">
        <v>32</v>
      </c>
      <c r="F142" s="11" t="str">
        <f>_xlfn.CONCAT(Table1_1[[#This Row],[Product]],Table1_1[[#This Row],[Category]])</f>
        <v>NotebookStationery</v>
      </c>
      <c r="G142">
        <v>3</v>
      </c>
      <c r="H142">
        <v>292</v>
      </c>
      <c r="I142">
        <v>876</v>
      </c>
    </row>
    <row r="143" spans="1:9" x14ac:dyDescent="0.8">
      <c r="A143" s="11" t="s">
        <v>184</v>
      </c>
      <c r="B143" s="12">
        <v>45660</v>
      </c>
      <c r="C143" s="11" t="s">
        <v>34</v>
      </c>
      <c r="D143" s="11" t="s">
        <v>31</v>
      </c>
      <c r="E143" s="11" t="s">
        <v>32</v>
      </c>
      <c r="F143" s="11" t="str">
        <f>_xlfn.CONCAT(Table1_1[[#This Row],[Product]],Table1_1[[#This Row],[Category]])</f>
        <v>NotebookStationery</v>
      </c>
      <c r="G143">
        <v>5</v>
      </c>
      <c r="H143">
        <v>493</v>
      </c>
      <c r="I143">
        <v>2465</v>
      </c>
    </row>
    <row r="144" spans="1:9" x14ac:dyDescent="0.8">
      <c r="A144" s="11" t="s">
        <v>185</v>
      </c>
      <c r="B144" s="12">
        <v>45685</v>
      </c>
      <c r="C144" s="11" t="s">
        <v>47</v>
      </c>
      <c r="D144" s="11" t="s">
        <v>45</v>
      </c>
      <c r="E144" s="11" t="s">
        <v>32</v>
      </c>
      <c r="F144" s="11" t="str">
        <f>_xlfn.CONCAT(Table1_1[[#This Row],[Product]],Table1_1[[#This Row],[Category]])</f>
        <v>Pen PackStationery</v>
      </c>
      <c r="G144">
        <v>2</v>
      </c>
      <c r="H144">
        <v>645</v>
      </c>
      <c r="I144">
        <v>1290</v>
      </c>
    </row>
    <row r="145" spans="1:9" x14ac:dyDescent="0.8">
      <c r="A145" s="11" t="s">
        <v>186</v>
      </c>
      <c r="B145" s="12">
        <v>45701</v>
      </c>
      <c r="C145" s="11" t="s">
        <v>47</v>
      </c>
      <c r="D145" s="11" t="s">
        <v>49</v>
      </c>
      <c r="E145" s="11" t="s">
        <v>40</v>
      </c>
      <c r="F145" s="11" t="str">
        <f>_xlfn.CONCAT(Table1_1[[#This Row],[Product]],Table1_1[[#This Row],[Category]])</f>
        <v>KeyboardElectronics</v>
      </c>
      <c r="G145">
        <v>7</v>
      </c>
      <c r="H145">
        <v>851</v>
      </c>
      <c r="I145">
        <v>5957</v>
      </c>
    </row>
    <row r="146" spans="1:9" x14ac:dyDescent="0.8">
      <c r="A146" s="11" t="s">
        <v>187</v>
      </c>
      <c r="B146" s="12">
        <v>45699</v>
      </c>
      <c r="C146" s="11" t="s">
        <v>30</v>
      </c>
      <c r="D146" s="11" t="s">
        <v>35</v>
      </c>
      <c r="E146" s="11" t="s">
        <v>36</v>
      </c>
      <c r="F146" s="11" t="str">
        <f>_xlfn.CONCAT(Table1_1[[#This Row],[Product]],Table1_1[[#This Row],[Category]])</f>
        <v>Desk ChairFurniture</v>
      </c>
      <c r="G146">
        <v>8</v>
      </c>
      <c r="H146">
        <v>497</v>
      </c>
      <c r="I146">
        <v>3976</v>
      </c>
    </row>
    <row r="147" spans="1:9" x14ac:dyDescent="0.8">
      <c r="A147" s="11" t="s">
        <v>188</v>
      </c>
      <c r="B147" s="12">
        <v>45700</v>
      </c>
      <c r="C147" s="11" t="s">
        <v>30</v>
      </c>
      <c r="D147" s="11" t="s">
        <v>45</v>
      </c>
      <c r="E147" s="11" t="s">
        <v>32</v>
      </c>
      <c r="F147" s="11" t="str">
        <f>_xlfn.CONCAT(Table1_1[[#This Row],[Product]],Table1_1[[#This Row],[Category]])</f>
        <v>Pen PackStationery</v>
      </c>
      <c r="G147">
        <v>2</v>
      </c>
      <c r="H147">
        <v>722</v>
      </c>
      <c r="I147">
        <v>1444</v>
      </c>
    </row>
    <row r="148" spans="1:9" x14ac:dyDescent="0.8">
      <c r="A148" s="11" t="s">
        <v>189</v>
      </c>
      <c r="B148" s="12">
        <v>45659</v>
      </c>
      <c r="C148" s="11" t="s">
        <v>34</v>
      </c>
      <c r="D148" s="11" t="s">
        <v>35</v>
      </c>
      <c r="E148" s="11" t="s">
        <v>36</v>
      </c>
      <c r="F148" s="11" t="str">
        <f>_xlfn.CONCAT(Table1_1[[#This Row],[Product]],Table1_1[[#This Row],[Category]])</f>
        <v>Desk ChairFurniture</v>
      </c>
      <c r="G148">
        <v>3</v>
      </c>
      <c r="H148">
        <v>332</v>
      </c>
      <c r="I148">
        <v>996</v>
      </c>
    </row>
    <row r="149" spans="1:9" x14ac:dyDescent="0.8">
      <c r="A149" s="11" t="s">
        <v>190</v>
      </c>
      <c r="B149" s="12">
        <v>45695</v>
      </c>
      <c r="C149" s="11" t="s">
        <v>47</v>
      </c>
      <c r="D149" s="11" t="s">
        <v>39</v>
      </c>
      <c r="E149" s="11" t="s">
        <v>40</v>
      </c>
      <c r="F149" s="11" t="str">
        <f>_xlfn.CONCAT(Table1_1[[#This Row],[Product]],Table1_1[[#This Row],[Category]])</f>
        <v>LaptopElectronics</v>
      </c>
      <c r="G149">
        <v>5</v>
      </c>
      <c r="H149">
        <v>90</v>
      </c>
      <c r="I149">
        <v>450</v>
      </c>
    </row>
    <row r="150" spans="1:9" x14ac:dyDescent="0.8">
      <c r="A150" s="11" t="s">
        <v>191</v>
      </c>
      <c r="B150" s="12">
        <v>45670</v>
      </c>
      <c r="C150" s="11" t="s">
        <v>51</v>
      </c>
      <c r="D150" s="11" t="s">
        <v>54</v>
      </c>
      <c r="E150" s="11" t="s">
        <v>40</v>
      </c>
      <c r="F150" s="11" t="str">
        <f>_xlfn.CONCAT(Table1_1[[#This Row],[Product]],Table1_1[[#This Row],[Category]])</f>
        <v>MonitorElectronics</v>
      </c>
      <c r="G150">
        <v>4</v>
      </c>
      <c r="H150">
        <v>328</v>
      </c>
      <c r="I150">
        <v>1312</v>
      </c>
    </row>
    <row r="151" spans="1:9" x14ac:dyDescent="0.8">
      <c r="A151" s="11" t="s">
        <v>192</v>
      </c>
      <c r="B151" s="12">
        <v>45713</v>
      </c>
      <c r="C151" s="11" t="s">
        <v>51</v>
      </c>
      <c r="D151" s="11" t="s">
        <v>35</v>
      </c>
      <c r="E151" s="11" t="s">
        <v>36</v>
      </c>
      <c r="F151" s="11" t="str">
        <f>_xlfn.CONCAT(Table1_1[[#This Row],[Product]],Table1_1[[#This Row],[Category]])</f>
        <v>Desk ChairFurniture</v>
      </c>
      <c r="G151">
        <v>4</v>
      </c>
      <c r="H151">
        <v>865</v>
      </c>
      <c r="I151">
        <v>3460</v>
      </c>
    </row>
    <row r="152" spans="1:9" x14ac:dyDescent="0.8">
      <c r="A152" s="11" t="s">
        <v>193</v>
      </c>
      <c r="B152" s="12">
        <v>45676</v>
      </c>
      <c r="C152" s="11" t="s">
        <v>34</v>
      </c>
      <c r="D152" s="11" t="s">
        <v>54</v>
      </c>
      <c r="E152" s="11" t="s">
        <v>40</v>
      </c>
      <c r="F152" s="11" t="str">
        <f>_xlfn.CONCAT(Table1_1[[#This Row],[Product]],Table1_1[[#This Row],[Category]])</f>
        <v>MonitorElectronics</v>
      </c>
      <c r="G152">
        <v>9</v>
      </c>
      <c r="H152">
        <v>237</v>
      </c>
      <c r="I152">
        <v>2133</v>
      </c>
    </row>
    <row r="153" spans="1:9" x14ac:dyDescent="0.8">
      <c r="A153" s="11" t="s">
        <v>194</v>
      </c>
      <c r="B153" s="12">
        <v>45702</v>
      </c>
      <c r="C153" s="11" t="s">
        <v>30</v>
      </c>
      <c r="D153" s="11" t="s">
        <v>31</v>
      </c>
      <c r="E153" s="11" t="s">
        <v>32</v>
      </c>
      <c r="F153" s="11" t="str">
        <f>_xlfn.CONCAT(Table1_1[[#This Row],[Product]],Table1_1[[#This Row],[Category]])</f>
        <v>NotebookStationery</v>
      </c>
      <c r="G153">
        <v>6</v>
      </c>
      <c r="H153">
        <v>438</v>
      </c>
      <c r="I153">
        <v>2628</v>
      </c>
    </row>
    <row r="154" spans="1:9" x14ac:dyDescent="0.8">
      <c r="A154" s="11" t="s">
        <v>195</v>
      </c>
      <c r="B154" s="12">
        <v>45715</v>
      </c>
      <c r="C154" s="11" t="s">
        <v>30</v>
      </c>
      <c r="D154" s="11" t="s">
        <v>39</v>
      </c>
      <c r="E154" s="11" t="s">
        <v>40</v>
      </c>
      <c r="F154" s="11" t="str">
        <f>_xlfn.CONCAT(Table1_1[[#This Row],[Product]],Table1_1[[#This Row],[Category]])</f>
        <v>LaptopElectronics</v>
      </c>
      <c r="G154">
        <v>4</v>
      </c>
      <c r="H154">
        <v>528</v>
      </c>
      <c r="I154">
        <v>2112</v>
      </c>
    </row>
    <row r="155" spans="1:9" x14ac:dyDescent="0.8">
      <c r="A155" s="11" t="s">
        <v>196</v>
      </c>
      <c r="B155" s="12">
        <v>45684</v>
      </c>
      <c r="C155" s="11" t="s">
        <v>51</v>
      </c>
      <c r="D155" s="11" t="s">
        <v>31</v>
      </c>
      <c r="E155" s="11" t="s">
        <v>32</v>
      </c>
      <c r="F155" s="11" t="str">
        <f>_xlfn.CONCAT(Table1_1[[#This Row],[Product]],Table1_1[[#This Row],[Category]])</f>
        <v>NotebookStationery</v>
      </c>
      <c r="G155">
        <v>7</v>
      </c>
      <c r="H155">
        <v>719</v>
      </c>
      <c r="I155">
        <v>5033</v>
      </c>
    </row>
    <row r="156" spans="1:9" x14ac:dyDescent="0.8">
      <c r="A156" s="11" t="s">
        <v>197</v>
      </c>
      <c r="B156" s="12">
        <v>45717</v>
      </c>
      <c r="C156" s="11" t="s">
        <v>47</v>
      </c>
      <c r="D156" s="11" t="s">
        <v>35</v>
      </c>
      <c r="E156" s="11" t="s">
        <v>36</v>
      </c>
      <c r="F156" s="11" t="str">
        <f>_xlfn.CONCAT(Table1_1[[#This Row],[Product]],Table1_1[[#This Row],[Category]])</f>
        <v>Desk ChairFurniture</v>
      </c>
      <c r="G156">
        <v>5</v>
      </c>
      <c r="H156">
        <v>207</v>
      </c>
      <c r="I156">
        <v>1035</v>
      </c>
    </row>
    <row r="157" spans="1:9" x14ac:dyDescent="0.8">
      <c r="A157" s="11" t="s">
        <v>198</v>
      </c>
      <c r="B157" s="12">
        <v>45658</v>
      </c>
      <c r="C157" s="11" t="s">
        <v>30</v>
      </c>
      <c r="D157" s="11" t="s">
        <v>35</v>
      </c>
      <c r="E157" s="11" t="s">
        <v>36</v>
      </c>
      <c r="F157" s="11" t="str">
        <f>_xlfn.CONCAT(Table1_1[[#This Row],[Product]],Table1_1[[#This Row],[Category]])</f>
        <v>Desk ChairFurniture</v>
      </c>
      <c r="G157">
        <v>7</v>
      </c>
      <c r="H157">
        <v>271</v>
      </c>
      <c r="I157">
        <v>1897</v>
      </c>
    </row>
    <row r="158" spans="1:9" x14ac:dyDescent="0.8">
      <c r="A158" s="11" t="s">
        <v>199</v>
      </c>
      <c r="B158" s="12">
        <v>45666</v>
      </c>
      <c r="C158" s="11" t="s">
        <v>51</v>
      </c>
      <c r="D158" s="11" t="s">
        <v>45</v>
      </c>
      <c r="E158" s="11" t="s">
        <v>32</v>
      </c>
      <c r="F158" s="11" t="str">
        <f>_xlfn.CONCAT(Table1_1[[#This Row],[Product]],Table1_1[[#This Row],[Category]])</f>
        <v>Pen PackStationery</v>
      </c>
      <c r="G158">
        <v>7</v>
      </c>
      <c r="H158">
        <v>717</v>
      </c>
      <c r="I158">
        <v>5019</v>
      </c>
    </row>
    <row r="159" spans="1:9" x14ac:dyDescent="0.8">
      <c r="A159" s="11" t="s">
        <v>200</v>
      </c>
      <c r="B159" s="12">
        <v>45715</v>
      </c>
      <c r="C159" s="11" t="s">
        <v>51</v>
      </c>
      <c r="D159" s="11" t="s">
        <v>45</v>
      </c>
      <c r="E159" s="11" t="s">
        <v>32</v>
      </c>
      <c r="F159" s="11" t="str">
        <f>_xlfn.CONCAT(Table1_1[[#This Row],[Product]],Table1_1[[#This Row],[Category]])</f>
        <v>Pen PackStationery</v>
      </c>
      <c r="G159">
        <v>5</v>
      </c>
      <c r="H159">
        <v>145</v>
      </c>
      <c r="I159">
        <v>725</v>
      </c>
    </row>
    <row r="160" spans="1:9" x14ac:dyDescent="0.8">
      <c r="A160" s="11" t="s">
        <v>201</v>
      </c>
      <c r="B160" s="12">
        <v>45700</v>
      </c>
      <c r="C160" s="11" t="s">
        <v>51</v>
      </c>
      <c r="D160" s="11" t="s">
        <v>39</v>
      </c>
      <c r="E160" s="11" t="s">
        <v>40</v>
      </c>
      <c r="F160" s="11" t="str">
        <f>_xlfn.CONCAT(Table1_1[[#This Row],[Product]],Table1_1[[#This Row],[Category]])</f>
        <v>LaptopElectronics</v>
      </c>
      <c r="G160">
        <v>7</v>
      </c>
      <c r="H160">
        <v>234</v>
      </c>
      <c r="I160">
        <v>1638</v>
      </c>
    </row>
    <row r="161" spans="1:9" x14ac:dyDescent="0.8">
      <c r="A161" s="11" t="s">
        <v>202</v>
      </c>
      <c r="B161" s="12">
        <v>45705</v>
      </c>
      <c r="C161" s="11" t="s">
        <v>51</v>
      </c>
      <c r="D161" s="11" t="s">
        <v>52</v>
      </c>
      <c r="E161" s="11" t="s">
        <v>40</v>
      </c>
      <c r="F161" s="11" t="str">
        <f>_xlfn.CONCAT(Table1_1[[#This Row],[Product]],Table1_1[[#This Row],[Category]])</f>
        <v>MouseElectronics</v>
      </c>
      <c r="G161">
        <v>6</v>
      </c>
      <c r="H161">
        <v>852</v>
      </c>
      <c r="I161">
        <v>5112</v>
      </c>
    </row>
    <row r="162" spans="1:9" x14ac:dyDescent="0.8">
      <c r="A162" s="11" t="s">
        <v>203</v>
      </c>
      <c r="B162" s="12">
        <v>45710</v>
      </c>
      <c r="C162" s="11" t="s">
        <v>34</v>
      </c>
      <c r="D162" s="11" t="s">
        <v>35</v>
      </c>
      <c r="E162" s="11" t="s">
        <v>36</v>
      </c>
      <c r="F162" s="11" t="str">
        <f>_xlfn.CONCAT(Table1_1[[#This Row],[Product]],Table1_1[[#This Row],[Category]])</f>
        <v>Desk ChairFurniture</v>
      </c>
      <c r="G162">
        <v>10</v>
      </c>
      <c r="H162">
        <v>594</v>
      </c>
      <c r="I162">
        <v>5940</v>
      </c>
    </row>
    <row r="163" spans="1:9" x14ac:dyDescent="0.8">
      <c r="A163" s="11" t="s">
        <v>204</v>
      </c>
      <c r="B163" s="12">
        <v>45665</v>
      </c>
      <c r="C163" s="11" t="s">
        <v>34</v>
      </c>
      <c r="D163" s="11" t="s">
        <v>49</v>
      </c>
      <c r="E163" s="11" t="s">
        <v>40</v>
      </c>
      <c r="F163" s="11" t="str">
        <f>_xlfn.CONCAT(Table1_1[[#This Row],[Product]],Table1_1[[#This Row],[Category]])</f>
        <v>KeyboardElectronics</v>
      </c>
      <c r="G163">
        <v>9</v>
      </c>
      <c r="H163">
        <v>264</v>
      </c>
      <c r="I163">
        <v>2376</v>
      </c>
    </row>
    <row r="164" spans="1:9" x14ac:dyDescent="0.8">
      <c r="A164" s="11" t="s">
        <v>205</v>
      </c>
      <c r="B164" s="12">
        <v>45675</v>
      </c>
      <c r="C164" s="11" t="s">
        <v>34</v>
      </c>
      <c r="D164" s="11" t="s">
        <v>31</v>
      </c>
      <c r="E164" s="11" t="s">
        <v>32</v>
      </c>
      <c r="F164" s="11" t="str">
        <f>_xlfn.CONCAT(Table1_1[[#This Row],[Product]],Table1_1[[#This Row],[Category]])</f>
        <v>NotebookStationery</v>
      </c>
      <c r="G164">
        <v>8</v>
      </c>
      <c r="H164">
        <v>593</v>
      </c>
      <c r="I164">
        <v>4744</v>
      </c>
    </row>
    <row r="165" spans="1:9" x14ac:dyDescent="0.8">
      <c r="A165" s="11" t="s">
        <v>206</v>
      </c>
      <c r="B165" s="12">
        <v>45675</v>
      </c>
      <c r="C165" s="11" t="s">
        <v>34</v>
      </c>
      <c r="D165" s="11" t="s">
        <v>49</v>
      </c>
      <c r="E165" s="11" t="s">
        <v>40</v>
      </c>
      <c r="F165" s="11" t="str">
        <f>_xlfn.CONCAT(Table1_1[[#This Row],[Product]],Table1_1[[#This Row],[Category]])</f>
        <v>KeyboardElectronics</v>
      </c>
      <c r="G165">
        <v>8</v>
      </c>
      <c r="H165">
        <v>692</v>
      </c>
      <c r="I165">
        <v>5536</v>
      </c>
    </row>
    <row r="166" spans="1:9" x14ac:dyDescent="0.8">
      <c r="A166" s="11" t="s">
        <v>207</v>
      </c>
      <c r="B166" s="12">
        <v>45692</v>
      </c>
      <c r="C166" s="11" t="s">
        <v>47</v>
      </c>
      <c r="D166" s="11" t="s">
        <v>45</v>
      </c>
      <c r="E166" s="11" t="s">
        <v>32</v>
      </c>
      <c r="F166" s="11" t="str">
        <f>_xlfn.CONCAT(Table1_1[[#This Row],[Product]],Table1_1[[#This Row],[Category]])</f>
        <v>Pen PackStationery</v>
      </c>
      <c r="G166">
        <v>6</v>
      </c>
      <c r="H166">
        <v>676</v>
      </c>
      <c r="I166">
        <v>4056</v>
      </c>
    </row>
    <row r="167" spans="1:9" x14ac:dyDescent="0.8">
      <c r="A167" s="11" t="s">
        <v>208</v>
      </c>
      <c r="B167" s="12">
        <v>45694</v>
      </c>
      <c r="C167" s="11" t="s">
        <v>34</v>
      </c>
      <c r="D167" s="11" t="s">
        <v>45</v>
      </c>
      <c r="E167" s="11" t="s">
        <v>32</v>
      </c>
      <c r="F167" s="11" t="str">
        <f>_xlfn.CONCAT(Table1_1[[#This Row],[Product]],Table1_1[[#This Row],[Category]])</f>
        <v>Pen PackStationery</v>
      </c>
      <c r="G167">
        <v>1</v>
      </c>
      <c r="H167">
        <v>681</v>
      </c>
      <c r="I167">
        <v>681</v>
      </c>
    </row>
    <row r="168" spans="1:9" x14ac:dyDescent="0.8">
      <c r="A168" s="11" t="s">
        <v>209</v>
      </c>
      <c r="B168" s="12">
        <v>45707</v>
      </c>
      <c r="C168" s="11" t="s">
        <v>30</v>
      </c>
      <c r="D168" s="11" t="s">
        <v>45</v>
      </c>
      <c r="E168" s="11" t="s">
        <v>32</v>
      </c>
      <c r="F168" s="11" t="str">
        <f>_xlfn.CONCAT(Table1_1[[#This Row],[Product]],Table1_1[[#This Row],[Category]])</f>
        <v>Pen PackStationery</v>
      </c>
      <c r="G168">
        <v>1</v>
      </c>
      <c r="H168">
        <v>590</v>
      </c>
      <c r="I168">
        <v>590</v>
      </c>
    </row>
    <row r="169" spans="1:9" x14ac:dyDescent="0.8">
      <c r="A169" s="11" t="s">
        <v>210</v>
      </c>
      <c r="B169" s="12">
        <v>45704</v>
      </c>
      <c r="C169" s="11" t="s">
        <v>47</v>
      </c>
      <c r="D169" s="11" t="s">
        <v>52</v>
      </c>
      <c r="E169" s="11" t="s">
        <v>40</v>
      </c>
      <c r="F169" s="11" t="str">
        <f>_xlfn.CONCAT(Table1_1[[#This Row],[Product]],Table1_1[[#This Row],[Category]])</f>
        <v>MouseElectronics</v>
      </c>
      <c r="G169">
        <v>9</v>
      </c>
      <c r="H169">
        <v>310</v>
      </c>
      <c r="I169">
        <v>2790</v>
      </c>
    </row>
    <row r="170" spans="1:9" x14ac:dyDescent="0.8">
      <c r="A170" s="11" t="s">
        <v>211</v>
      </c>
      <c r="B170" s="12">
        <v>45714</v>
      </c>
      <c r="C170" s="11" t="s">
        <v>47</v>
      </c>
      <c r="D170" s="11" t="s">
        <v>52</v>
      </c>
      <c r="E170" s="11" t="s">
        <v>40</v>
      </c>
      <c r="F170" s="11" t="str">
        <f>_xlfn.CONCAT(Table1_1[[#This Row],[Product]],Table1_1[[#This Row],[Category]])</f>
        <v>MouseElectronics</v>
      </c>
      <c r="G170">
        <v>1</v>
      </c>
      <c r="H170">
        <v>787</v>
      </c>
      <c r="I170">
        <v>787</v>
      </c>
    </row>
    <row r="171" spans="1:9" x14ac:dyDescent="0.8">
      <c r="A171" s="11" t="s">
        <v>212</v>
      </c>
      <c r="B171" s="12">
        <v>45674</v>
      </c>
      <c r="C171" s="11" t="s">
        <v>51</v>
      </c>
      <c r="D171" s="11" t="s">
        <v>52</v>
      </c>
      <c r="E171" s="11" t="s">
        <v>40</v>
      </c>
      <c r="F171" s="11" t="str">
        <f>_xlfn.CONCAT(Table1_1[[#This Row],[Product]],Table1_1[[#This Row],[Category]])</f>
        <v>MouseElectronics</v>
      </c>
      <c r="G171">
        <v>10</v>
      </c>
      <c r="H171">
        <v>123</v>
      </c>
      <c r="I171">
        <v>1230</v>
      </c>
    </row>
    <row r="172" spans="1:9" x14ac:dyDescent="0.8">
      <c r="A172" s="11" t="s">
        <v>213</v>
      </c>
      <c r="B172" s="12">
        <v>45703</v>
      </c>
      <c r="C172" s="11" t="s">
        <v>47</v>
      </c>
      <c r="D172" s="11" t="s">
        <v>35</v>
      </c>
      <c r="E172" s="11" t="s">
        <v>36</v>
      </c>
      <c r="F172" s="11" t="str">
        <f>_xlfn.CONCAT(Table1_1[[#This Row],[Product]],Table1_1[[#This Row],[Category]])</f>
        <v>Desk ChairFurniture</v>
      </c>
      <c r="G172">
        <v>8</v>
      </c>
      <c r="H172">
        <v>37</v>
      </c>
      <c r="I172">
        <v>296</v>
      </c>
    </row>
    <row r="173" spans="1:9" x14ac:dyDescent="0.8">
      <c r="A173" s="11" t="s">
        <v>214</v>
      </c>
      <c r="B173" s="12">
        <v>45693</v>
      </c>
      <c r="C173" s="11" t="s">
        <v>51</v>
      </c>
      <c r="D173" s="11" t="s">
        <v>54</v>
      </c>
      <c r="E173" s="11" t="s">
        <v>40</v>
      </c>
      <c r="F173" s="11" t="str">
        <f>_xlfn.CONCAT(Table1_1[[#This Row],[Product]],Table1_1[[#This Row],[Category]])</f>
        <v>MonitorElectronics</v>
      </c>
      <c r="G173">
        <v>1</v>
      </c>
      <c r="H173">
        <v>139</v>
      </c>
      <c r="I173">
        <v>139</v>
      </c>
    </row>
    <row r="174" spans="1:9" x14ac:dyDescent="0.8">
      <c r="A174" s="11" t="s">
        <v>215</v>
      </c>
      <c r="B174" s="12">
        <v>45708</v>
      </c>
      <c r="C174" s="11" t="s">
        <v>34</v>
      </c>
      <c r="D174" s="11" t="s">
        <v>31</v>
      </c>
      <c r="E174" s="11" t="s">
        <v>32</v>
      </c>
      <c r="F174" s="11" t="str">
        <f>_xlfn.CONCAT(Table1_1[[#This Row],[Product]],Table1_1[[#This Row],[Category]])</f>
        <v>NotebookStationery</v>
      </c>
      <c r="G174">
        <v>10</v>
      </c>
      <c r="H174">
        <v>169</v>
      </c>
      <c r="I174">
        <v>1690</v>
      </c>
    </row>
    <row r="175" spans="1:9" x14ac:dyDescent="0.8">
      <c r="A175" s="11" t="s">
        <v>216</v>
      </c>
      <c r="B175" s="12">
        <v>45715</v>
      </c>
      <c r="C175" s="11" t="s">
        <v>47</v>
      </c>
      <c r="D175" s="11" t="s">
        <v>52</v>
      </c>
      <c r="E175" s="11" t="s">
        <v>40</v>
      </c>
      <c r="F175" s="11" t="str">
        <f>_xlfn.CONCAT(Table1_1[[#This Row],[Product]],Table1_1[[#This Row],[Category]])</f>
        <v>MouseElectronics</v>
      </c>
      <c r="G175">
        <v>1</v>
      </c>
      <c r="H175">
        <v>117</v>
      </c>
      <c r="I175">
        <v>117</v>
      </c>
    </row>
    <row r="176" spans="1:9" x14ac:dyDescent="0.8">
      <c r="A176" s="11" t="s">
        <v>217</v>
      </c>
      <c r="B176" s="12">
        <v>45659</v>
      </c>
      <c r="C176" s="11" t="s">
        <v>30</v>
      </c>
      <c r="D176" s="11" t="s">
        <v>35</v>
      </c>
      <c r="E176" s="11" t="s">
        <v>36</v>
      </c>
      <c r="F176" s="11" t="str">
        <f>_xlfn.CONCAT(Table1_1[[#This Row],[Product]],Table1_1[[#This Row],[Category]])</f>
        <v>Desk ChairFurniture</v>
      </c>
      <c r="G176">
        <v>7</v>
      </c>
      <c r="H176">
        <v>371</v>
      </c>
      <c r="I176">
        <v>2597</v>
      </c>
    </row>
    <row r="177" spans="1:9" x14ac:dyDescent="0.8">
      <c r="A177" s="11" t="s">
        <v>218</v>
      </c>
      <c r="B177" s="12">
        <v>45685</v>
      </c>
      <c r="C177" s="11" t="s">
        <v>34</v>
      </c>
      <c r="D177" s="11" t="s">
        <v>35</v>
      </c>
      <c r="E177" s="11" t="s">
        <v>36</v>
      </c>
      <c r="F177" s="11" t="str">
        <f>_xlfn.CONCAT(Table1_1[[#This Row],[Product]],Table1_1[[#This Row],[Category]])</f>
        <v>Desk ChairFurniture</v>
      </c>
      <c r="G177">
        <v>5</v>
      </c>
      <c r="H177">
        <v>240</v>
      </c>
      <c r="I177">
        <v>1200</v>
      </c>
    </row>
    <row r="178" spans="1:9" x14ac:dyDescent="0.8">
      <c r="A178" s="11" t="s">
        <v>219</v>
      </c>
      <c r="B178" s="12">
        <v>45706</v>
      </c>
      <c r="C178" s="11" t="s">
        <v>47</v>
      </c>
      <c r="D178" s="11" t="s">
        <v>49</v>
      </c>
      <c r="E178" s="11" t="s">
        <v>40</v>
      </c>
      <c r="F178" s="11" t="str">
        <f>_xlfn.CONCAT(Table1_1[[#This Row],[Product]],Table1_1[[#This Row],[Category]])</f>
        <v>KeyboardElectronics</v>
      </c>
      <c r="G178">
        <v>3</v>
      </c>
      <c r="H178">
        <v>748</v>
      </c>
      <c r="I178">
        <v>2244</v>
      </c>
    </row>
    <row r="179" spans="1:9" x14ac:dyDescent="0.8">
      <c r="A179" s="11" t="s">
        <v>220</v>
      </c>
      <c r="B179" s="12">
        <v>45689</v>
      </c>
      <c r="C179" s="11" t="s">
        <v>51</v>
      </c>
      <c r="D179" s="11" t="s">
        <v>45</v>
      </c>
      <c r="E179" s="11" t="s">
        <v>32</v>
      </c>
      <c r="F179" s="11" t="str">
        <f>_xlfn.CONCAT(Table1_1[[#This Row],[Product]],Table1_1[[#This Row],[Category]])</f>
        <v>Pen PackStationery</v>
      </c>
      <c r="G179">
        <v>1</v>
      </c>
      <c r="H179">
        <v>798</v>
      </c>
      <c r="I179">
        <v>798</v>
      </c>
    </row>
    <row r="180" spans="1:9" x14ac:dyDescent="0.8">
      <c r="A180" s="11" t="s">
        <v>221</v>
      </c>
      <c r="B180" s="12">
        <v>45680</v>
      </c>
      <c r="C180" s="11" t="s">
        <v>51</v>
      </c>
      <c r="D180" s="11" t="s">
        <v>31</v>
      </c>
      <c r="E180" s="11" t="s">
        <v>32</v>
      </c>
      <c r="F180" s="11" t="str">
        <f>_xlfn.CONCAT(Table1_1[[#This Row],[Product]],Table1_1[[#This Row],[Category]])</f>
        <v>NotebookStationery</v>
      </c>
      <c r="G180">
        <v>10</v>
      </c>
      <c r="H180">
        <v>361</v>
      </c>
      <c r="I180">
        <v>3610</v>
      </c>
    </row>
    <row r="181" spans="1:9" x14ac:dyDescent="0.8">
      <c r="A181" s="11" t="s">
        <v>222</v>
      </c>
      <c r="B181" s="12">
        <v>45665</v>
      </c>
      <c r="C181" s="11" t="s">
        <v>34</v>
      </c>
      <c r="D181" s="11" t="s">
        <v>39</v>
      </c>
      <c r="E181" s="11" t="s">
        <v>40</v>
      </c>
      <c r="F181" s="11" t="str">
        <f>_xlfn.CONCAT(Table1_1[[#This Row],[Product]],Table1_1[[#This Row],[Category]])</f>
        <v>LaptopElectronics</v>
      </c>
      <c r="G181">
        <v>6</v>
      </c>
      <c r="H181">
        <v>68</v>
      </c>
      <c r="I181">
        <v>408</v>
      </c>
    </row>
    <row r="182" spans="1:9" x14ac:dyDescent="0.8">
      <c r="A182" s="11" t="s">
        <v>223</v>
      </c>
      <c r="B182" s="12">
        <v>45665</v>
      </c>
      <c r="C182" s="11" t="s">
        <v>51</v>
      </c>
      <c r="D182" s="11" t="s">
        <v>49</v>
      </c>
      <c r="E182" s="11" t="s">
        <v>40</v>
      </c>
      <c r="F182" s="11" t="str">
        <f>_xlfn.CONCAT(Table1_1[[#This Row],[Product]],Table1_1[[#This Row],[Category]])</f>
        <v>KeyboardElectronics</v>
      </c>
      <c r="G182">
        <v>3</v>
      </c>
      <c r="H182">
        <v>672</v>
      </c>
      <c r="I182">
        <v>2016</v>
      </c>
    </row>
    <row r="183" spans="1:9" x14ac:dyDescent="0.8">
      <c r="A183" s="11" t="s">
        <v>224</v>
      </c>
      <c r="B183" s="12">
        <v>45711</v>
      </c>
      <c r="C183" s="11" t="s">
        <v>47</v>
      </c>
      <c r="D183" s="11" t="s">
        <v>45</v>
      </c>
      <c r="E183" s="11" t="s">
        <v>32</v>
      </c>
      <c r="F183" s="11" t="str">
        <f>_xlfn.CONCAT(Table1_1[[#This Row],[Product]],Table1_1[[#This Row],[Category]])</f>
        <v>Pen PackStationery</v>
      </c>
      <c r="G183">
        <v>6</v>
      </c>
      <c r="H183">
        <v>309</v>
      </c>
      <c r="I183">
        <v>1854</v>
      </c>
    </row>
    <row r="184" spans="1:9" x14ac:dyDescent="0.8">
      <c r="A184" s="11" t="s">
        <v>225</v>
      </c>
      <c r="B184" s="12">
        <v>45698</v>
      </c>
      <c r="C184" s="11" t="s">
        <v>51</v>
      </c>
      <c r="D184" s="11" t="s">
        <v>54</v>
      </c>
      <c r="E184" s="11" t="s">
        <v>40</v>
      </c>
      <c r="F184" s="11" t="str">
        <f>_xlfn.CONCAT(Table1_1[[#This Row],[Product]],Table1_1[[#This Row],[Category]])</f>
        <v>MonitorElectronics</v>
      </c>
      <c r="G184">
        <v>8</v>
      </c>
      <c r="H184">
        <v>346</v>
      </c>
      <c r="I184">
        <v>2768</v>
      </c>
    </row>
    <row r="185" spans="1:9" x14ac:dyDescent="0.8">
      <c r="A185" s="11" t="s">
        <v>226</v>
      </c>
      <c r="B185" s="12">
        <v>45673</v>
      </c>
      <c r="C185" s="11" t="s">
        <v>51</v>
      </c>
      <c r="D185" s="11" t="s">
        <v>54</v>
      </c>
      <c r="E185" s="11" t="s">
        <v>40</v>
      </c>
      <c r="F185" s="11" t="str">
        <f>_xlfn.CONCAT(Table1_1[[#This Row],[Product]],Table1_1[[#This Row],[Category]])</f>
        <v>MonitorElectronics</v>
      </c>
      <c r="G185">
        <v>2</v>
      </c>
      <c r="H185">
        <v>200</v>
      </c>
      <c r="I185">
        <v>400</v>
      </c>
    </row>
    <row r="186" spans="1:9" x14ac:dyDescent="0.8">
      <c r="A186" s="11" t="s">
        <v>227</v>
      </c>
      <c r="B186" s="12">
        <v>45668</v>
      </c>
      <c r="C186" s="11" t="s">
        <v>47</v>
      </c>
      <c r="D186" s="11" t="s">
        <v>49</v>
      </c>
      <c r="E186" s="11" t="s">
        <v>40</v>
      </c>
      <c r="F186" s="11" t="str">
        <f>_xlfn.CONCAT(Table1_1[[#This Row],[Product]],Table1_1[[#This Row],[Category]])</f>
        <v>KeyboardElectronics</v>
      </c>
      <c r="G186">
        <v>1</v>
      </c>
      <c r="H186">
        <v>818</v>
      </c>
      <c r="I186">
        <v>818</v>
      </c>
    </row>
    <row r="187" spans="1:9" x14ac:dyDescent="0.8">
      <c r="A187" s="11" t="s">
        <v>228</v>
      </c>
      <c r="B187" s="12">
        <v>45696</v>
      </c>
      <c r="C187" s="11" t="s">
        <v>47</v>
      </c>
      <c r="D187" s="11" t="s">
        <v>35</v>
      </c>
      <c r="E187" s="11" t="s">
        <v>36</v>
      </c>
      <c r="F187" s="11" t="str">
        <f>_xlfn.CONCAT(Table1_1[[#This Row],[Product]],Table1_1[[#This Row],[Category]])</f>
        <v>Desk ChairFurniture</v>
      </c>
      <c r="G187">
        <v>4</v>
      </c>
      <c r="H187">
        <v>81</v>
      </c>
      <c r="I187">
        <v>324</v>
      </c>
    </row>
    <row r="188" spans="1:9" x14ac:dyDescent="0.8">
      <c r="A188" s="11" t="s">
        <v>229</v>
      </c>
      <c r="B188" s="12">
        <v>45697</v>
      </c>
      <c r="C188" s="11" t="s">
        <v>47</v>
      </c>
      <c r="D188" s="11" t="s">
        <v>54</v>
      </c>
      <c r="E188" s="11" t="s">
        <v>40</v>
      </c>
      <c r="F188" s="11" t="str">
        <f>_xlfn.CONCAT(Table1_1[[#This Row],[Product]],Table1_1[[#This Row],[Category]])</f>
        <v>MonitorElectronics</v>
      </c>
      <c r="G188">
        <v>7</v>
      </c>
      <c r="H188">
        <v>399</v>
      </c>
      <c r="I188">
        <v>2793</v>
      </c>
    </row>
    <row r="189" spans="1:9" x14ac:dyDescent="0.8">
      <c r="A189" s="11" t="s">
        <v>230</v>
      </c>
      <c r="B189" s="12">
        <v>45689</v>
      </c>
      <c r="C189" s="11" t="s">
        <v>34</v>
      </c>
      <c r="D189" s="11" t="s">
        <v>35</v>
      </c>
      <c r="E189" s="11" t="s">
        <v>36</v>
      </c>
      <c r="F189" s="11" t="str">
        <f>_xlfn.CONCAT(Table1_1[[#This Row],[Product]],Table1_1[[#This Row],[Category]])</f>
        <v>Desk ChairFurniture</v>
      </c>
      <c r="G189">
        <v>10</v>
      </c>
      <c r="H189">
        <v>890</v>
      </c>
      <c r="I189">
        <v>8900</v>
      </c>
    </row>
    <row r="190" spans="1:9" x14ac:dyDescent="0.8">
      <c r="A190" s="11" t="s">
        <v>231</v>
      </c>
      <c r="B190" s="12">
        <v>45705</v>
      </c>
      <c r="C190" s="11" t="s">
        <v>34</v>
      </c>
      <c r="D190" s="11" t="s">
        <v>39</v>
      </c>
      <c r="E190" s="11" t="s">
        <v>40</v>
      </c>
      <c r="F190" s="11" t="str">
        <f>_xlfn.CONCAT(Table1_1[[#This Row],[Product]],Table1_1[[#This Row],[Category]])</f>
        <v>LaptopElectronics</v>
      </c>
      <c r="G190">
        <v>5</v>
      </c>
      <c r="H190">
        <v>475</v>
      </c>
      <c r="I190">
        <v>2375</v>
      </c>
    </row>
    <row r="191" spans="1:9" x14ac:dyDescent="0.8">
      <c r="A191" s="11" t="s">
        <v>232</v>
      </c>
      <c r="B191" s="12">
        <v>45677</v>
      </c>
      <c r="C191" s="11" t="s">
        <v>51</v>
      </c>
      <c r="D191" s="11" t="s">
        <v>39</v>
      </c>
      <c r="E191" s="11" t="s">
        <v>40</v>
      </c>
      <c r="F191" s="11" t="str">
        <f>_xlfn.CONCAT(Table1_1[[#This Row],[Product]],Table1_1[[#This Row],[Category]])</f>
        <v>LaptopElectronics</v>
      </c>
      <c r="G191">
        <v>10</v>
      </c>
      <c r="H191">
        <v>564</v>
      </c>
      <c r="I191">
        <v>5640</v>
      </c>
    </row>
    <row r="192" spans="1:9" x14ac:dyDescent="0.8">
      <c r="A192" s="11" t="s">
        <v>233</v>
      </c>
      <c r="B192" s="12">
        <v>45701</v>
      </c>
      <c r="C192" s="11" t="s">
        <v>47</v>
      </c>
      <c r="D192" s="11" t="s">
        <v>49</v>
      </c>
      <c r="E192" s="11" t="s">
        <v>40</v>
      </c>
      <c r="F192" s="11" t="str">
        <f>_xlfn.CONCAT(Table1_1[[#This Row],[Product]],Table1_1[[#This Row],[Category]])</f>
        <v>KeyboardElectronics</v>
      </c>
      <c r="G192">
        <v>10</v>
      </c>
      <c r="H192">
        <v>580</v>
      </c>
      <c r="I192">
        <v>5800</v>
      </c>
    </row>
    <row r="193" spans="1:9" x14ac:dyDescent="0.8">
      <c r="A193" s="11" t="s">
        <v>234</v>
      </c>
      <c r="B193" s="12">
        <v>45691</v>
      </c>
      <c r="C193" s="11" t="s">
        <v>51</v>
      </c>
      <c r="D193" s="11" t="s">
        <v>54</v>
      </c>
      <c r="E193" s="11" t="s">
        <v>40</v>
      </c>
      <c r="F193" s="11" t="str">
        <f>_xlfn.CONCAT(Table1_1[[#This Row],[Product]],Table1_1[[#This Row],[Category]])</f>
        <v>MonitorElectronics</v>
      </c>
      <c r="G193">
        <v>4</v>
      </c>
      <c r="H193">
        <v>693</v>
      </c>
      <c r="I193">
        <v>2772</v>
      </c>
    </row>
    <row r="194" spans="1:9" x14ac:dyDescent="0.8">
      <c r="A194" s="11" t="s">
        <v>235</v>
      </c>
      <c r="B194" s="12">
        <v>45707</v>
      </c>
      <c r="C194" s="11" t="s">
        <v>47</v>
      </c>
      <c r="D194" s="11" t="s">
        <v>31</v>
      </c>
      <c r="E194" s="11" t="s">
        <v>32</v>
      </c>
      <c r="F194" s="11" t="str">
        <f>_xlfn.CONCAT(Table1_1[[#This Row],[Product]],Table1_1[[#This Row],[Category]])</f>
        <v>NotebookStationery</v>
      </c>
      <c r="G194">
        <v>7</v>
      </c>
      <c r="H194">
        <v>233</v>
      </c>
      <c r="I194">
        <v>1631</v>
      </c>
    </row>
    <row r="195" spans="1:9" x14ac:dyDescent="0.8">
      <c r="A195" s="11" t="s">
        <v>236</v>
      </c>
      <c r="B195" s="12">
        <v>45669</v>
      </c>
      <c r="C195" s="11" t="s">
        <v>30</v>
      </c>
      <c r="D195" s="11" t="s">
        <v>52</v>
      </c>
      <c r="E195" s="11" t="s">
        <v>40</v>
      </c>
      <c r="F195" s="11" t="str">
        <f>_xlfn.CONCAT(Table1_1[[#This Row],[Product]],Table1_1[[#This Row],[Category]])</f>
        <v>MouseElectronics</v>
      </c>
      <c r="G195">
        <v>2</v>
      </c>
      <c r="H195">
        <v>655</v>
      </c>
      <c r="I195">
        <v>1310</v>
      </c>
    </row>
    <row r="196" spans="1:9" x14ac:dyDescent="0.8">
      <c r="A196" s="11" t="s">
        <v>237</v>
      </c>
      <c r="B196" s="12">
        <v>45665</v>
      </c>
      <c r="C196" s="11" t="s">
        <v>51</v>
      </c>
      <c r="D196" s="11" t="s">
        <v>52</v>
      </c>
      <c r="E196" s="11" t="s">
        <v>40</v>
      </c>
      <c r="F196" s="11" t="str">
        <f>_xlfn.CONCAT(Table1_1[[#This Row],[Product]],Table1_1[[#This Row],[Category]])</f>
        <v>MouseElectronics</v>
      </c>
      <c r="G196">
        <v>5</v>
      </c>
      <c r="H196">
        <v>408</v>
      </c>
      <c r="I196">
        <v>2040</v>
      </c>
    </row>
    <row r="197" spans="1:9" x14ac:dyDescent="0.8">
      <c r="A197" s="11" t="s">
        <v>238</v>
      </c>
      <c r="B197" s="12">
        <v>45679</v>
      </c>
      <c r="C197" s="11" t="s">
        <v>51</v>
      </c>
      <c r="D197" s="11" t="s">
        <v>54</v>
      </c>
      <c r="E197" s="11" t="s">
        <v>40</v>
      </c>
      <c r="F197" s="11" t="str">
        <f>_xlfn.CONCAT(Table1_1[[#This Row],[Product]],Table1_1[[#This Row],[Category]])</f>
        <v>MonitorElectronics</v>
      </c>
      <c r="G197">
        <v>10</v>
      </c>
      <c r="H197">
        <v>49</v>
      </c>
      <c r="I197">
        <v>490</v>
      </c>
    </row>
    <row r="198" spans="1:9" x14ac:dyDescent="0.8">
      <c r="A198" s="11" t="s">
        <v>239</v>
      </c>
      <c r="B198" s="12">
        <v>45672</v>
      </c>
      <c r="C198" s="11" t="s">
        <v>30</v>
      </c>
      <c r="D198" s="11" t="s">
        <v>45</v>
      </c>
      <c r="E198" s="11" t="s">
        <v>32</v>
      </c>
      <c r="F198" s="11" t="str">
        <f>_xlfn.CONCAT(Table1_1[[#This Row],[Product]],Table1_1[[#This Row],[Category]])</f>
        <v>Pen PackStationery</v>
      </c>
      <c r="G198">
        <v>6</v>
      </c>
      <c r="H198">
        <v>125</v>
      </c>
      <c r="I198">
        <v>750</v>
      </c>
    </row>
    <row r="199" spans="1:9" x14ac:dyDescent="0.8">
      <c r="A199" s="11" t="s">
        <v>240</v>
      </c>
      <c r="B199" s="12">
        <v>45699</v>
      </c>
      <c r="C199" s="11" t="s">
        <v>30</v>
      </c>
      <c r="D199" s="11" t="s">
        <v>31</v>
      </c>
      <c r="E199" s="11" t="s">
        <v>32</v>
      </c>
      <c r="F199" s="11" t="str">
        <f>_xlfn.CONCAT(Table1_1[[#This Row],[Product]],Table1_1[[#This Row],[Category]])</f>
        <v>NotebookStationery</v>
      </c>
      <c r="G199">
        <v>4</v>
      </c>
      <c r="H199">
        <v>363</v>
      </c>
      <c r="I199">
        <v>1452</v>
      </c>
    </row>
    <row r="200" spans="1:9" x14ac:dyDescent="0.8">
      <c r="A200" s="11" t="s">
        <v>241</v>
      </c>
      <c r="B200" s="12">
        <v>45680</v>
      </c>
      <c r="C200" s="11" t="s">
        <v>34</v>
      </c>
      <c r="D200" s="11" t="s">
        <v>45</v>
      </c>
      <c r="E200" s="11" t="s">
        <v>32</v>
      </c>
      <c r="F200" s="11" t="str">
        <f>_xlfn.CONCAT(Table1_1[[#This Row],[Product]],Table1_1[[#This Row],[Category]])</f>
        <v>Pen PackStationery</v>
      </c>
      <c r="G200">
        <v>5</v>
      </c>
      <c r="H200">
        <v>611</v>
      </c>
      <c r="I200">
        <v>3055</v>
      </c>
    </row>
    <row r="201" spans="1:9" x14ac:dyDescent="0.8">
      <c r="A201" s="11" t="s">
        <v>242</v>
      </c>
      <c r="B201" s="12">
        <v>45658</v>
      </c>
      <c r="C201" s="11" t="s">
        <v>47</v>
      </c>
      <c r="D201" s="11" t="s">
        <v>52</v>
      </c>
      <c r="E201" s="11" t="s">
        <v>40</v>
      </c>
      <c r="F201" s="11" t="str">
        <f>_xlfn.CONCAT(Table1_1[[#This Row],[Product]],Table1_1[[#This Row],[Category]])</f>
        <v>MouseElectronics</v>
      </c>
      <c r="G201">
        <v>2</v>
      </c>
      <c r="H201">
        <v>636</v>
      </c>
      <c r="I201">
        <v>1272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J15" sqref="J15"/>
    </sheetView>
  </sheetViews>
  <sheetFormatPr defaultRowHeight="25.5" x14ac:dyDescent="0.8"/>
  <cols>
    <col min="1" max="1" width="9" style="3" customWidth="1"/>
    <col min="2" max="2" width="16.88671875" style="3" bestFit="1" customWidth="1"/>
    <col min="3" max="6" width="8.88671875" style="3"/>
    <col min="7" max="7" width="9.88671875" style="3" customWidth="1"/>
  </cols>
  <sheetData>
    <row r="1" spans="1:7" ht="27.75" x14ac:dyDescent="0.9">
      <c r="A1" s="13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5" t="s">
        <v>28</v>
      </c>
    </row>
    <row r="2" spans="1:7" x14ac:dyDescent="0.8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8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8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8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8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8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8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8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8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8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8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8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8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8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8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8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8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8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8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8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8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8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8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8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8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8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8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8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8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8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8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8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8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8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8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8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8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8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8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8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8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8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8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8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8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8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8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8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8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8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8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8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8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8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8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8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8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8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8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8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8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8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8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8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8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8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8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8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8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8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8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8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8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8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8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8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8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8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8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8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8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8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8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8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8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8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8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8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8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8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8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8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8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8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8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8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8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8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8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8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8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8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8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8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8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8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8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8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8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8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8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8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8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8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8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8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8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8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8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8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8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8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8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8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8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8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8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8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8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8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8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8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8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8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8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8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8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8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8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8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8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8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8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8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8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8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8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8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8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8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8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8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8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8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8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8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8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8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8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8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8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8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8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8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8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8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8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8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8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8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8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8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8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8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8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8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8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8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8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8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8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8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8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8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8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8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8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8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8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8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8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8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8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8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8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8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8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8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8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8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0EF90-9AE9-4104-BB7A-1B3CB1B69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Challenge_Instructions</vt:lpstr>
      <vt:lpstr>Performs</vt:lpstr>
      <vt:lpstr>Clean 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Akula Surender</cp:lastModifiedBy>
  <dcterms:created xsi:type="dcterms:W3CDTF">2026-03-15T14:12:48Z</dcterms:created>
  <dcterms:modified xsi:type="dcterms:W3CDTF">2026-03-18T06:16:29Z</dcterms:modified>
</cp:coreProperties>
</file>